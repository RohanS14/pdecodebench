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<sst xmlns="http://schemas.openxmlformats.org/spreadsheetml/2006/main" count="397" uniqueCount="133">
  <si>
    <t>Title</t>
  </si>
  <si>
    <t>title</t>
  </si>
  <si>
    <t>Code</t>
  </si>
  <si>
    <t>code</t>
  </si>
  <si>
    <t>Num Lines</t>
  </si>
  <si>
    <t>Num characters</t>
  </si>
  <si>
    <t xml:space="preserve">PDE Classification </t>
  </si>
  <si>
    <t>Dominant Phys Process</t>
  </si>
  <si>
    <t>Phys Valid</t>
  </si>
  <si>
    <t>Numerical method</t>
  </si>
  <si>
    <t>Invalid Change Type</t>
  </si>
  <si>
    <t>Wave_Comm_Valid_1</t>
  </si>
  <si>
    <t>import numpy as np\n
#Def of the initial conditions, velocity, and acceleration\n
def I(x,y):\n
    return 0.2*np.exp(-((x-1)**2/0.1 + (y-1)**2/0.1))\n
def V(x,y):\n
    return 0\n
def celer(x,y):\n
    return 1\n
loop_exec = 1\n
bound_cond = 2\n
if bound_cond not in [1,2,3]:\n
    loop_exec = 0\n
    print("Please choose a correct boundary condition")\n
# Spatial and temporal meshes\n
L_x = 5\n
dx = 0.05\n
N_x = int(L_x/dx)\n
X = np.linspace(0,L_x,N_x+1)\n
L_y = 5\n
dy = 0.05\n
N_y = int(L_y/dy)\n
Y = np.linspace(0,L_y,N_y+1)\n
L_t = 4\n
dt = dt = 0.1*min(dx, dy)\n
N_t = int(L_t/dt)\n
T = np.linspace(0,L_t,N_t+1)\n
# Velocity array for calculation (finite elements), and a few time and spatial derivatives\n
c = np.zeros((N_x+1,N_y+1), float)\n
for i in range(0,N_x+1):\n
    for j in range(0,N_y+1):\n
        c[i,j] = celer(X[i],Y[j])\n
Cx2 = (dt/dx)**2; Cy2 = (dt/dy)**2\n
CFL_1 = dt/dy*c[:,0]; CFL_2 = dt/dy*c[:,N_y]; CFL_3 = dt/dx*c[0,:]; CFL_4 =dt/dx*c[N_x,:]\n
# Loop running the process of integrating the system over the space and time mesh\n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# Process loop (on time mesh)\n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      \n
        u_n = u_np1.copy() \n
        U[:,:,n] = u_n.copy()\n</t>
  </si>
  <si>
    <t>Burgers_Valid1</t>
  </si>
  <si>
    <t>import numpy as np
from scipy.integrate import odeint
from scipy.linalg import toeplitz
# number of cells in 1D space
n = 100
# space
x0 = 0
xn = 1
dx = (xn - x0)/n
x_interface = np.linspace(x0, xn, n+1)
x = x_interface[0:n] + dx/2
# time
t0 = 0
tn = 0.5
t_steps = 200
t = np.linspace(t0, tn, t_steps)
dt = t[1] - t[0]
# Initial condition
u_init = np.sin(2*np.pi*x)
def minmod(a, b): 
    # returns 0 if a,b have opposite signs (or either is 0); else smaller one 
    return np.where(a*b &gt; 0, np.sign(a) * np.minimum(np.abs(a), np.abs(b)), 0.0)
def dudt_rec_upwind(u, t, dx):
    # u denotes state in cell centers (in the formulas sometimes written as \bar{u})
    n = u.shape[0]
    dudx = np.zeros_like(u)
    dudx[1:n-1] = (u[2:n] - u[0:n-2])/(2*dx)
    slope_back = np.zeros_like(u) 
    slope_fwd = np.zeros_like(u) 
    slope_back[1:n-1] = (u[1:n-1] - u[0:n-2])/dx 
    slope_fwd[1:n-1] = (u[2:n] - u[1:n-1])/dx 
    dudx[1:n-1] = minmod(slope_back[1:n-1], slope_fwd[1:n-1])
    dudx[0] = (u[1] - u[0])/dx
    dudx[n-1] = (u[n-1] - u[n-2])/dx
    u_right = u + dudx*dx/2
    u_left = u - dudx*dx/2
    # Compute the flux for every cell i, not in the middle, but at every cell interface _inside_ each cell.
    f_right = u_right**2 / 2
    f_left = u_left**2 / 2
    # Shock speed at the cell interfaces from f_{0-1/2} to f_{n+1/2}, 
    s = np.zeros(shape=(n+1,))
    s[1:n] = (u_right[0:n-1] + u_left[1:n]) / 2
    # Flux at the cell interfaces from f_{0-1/2} to f_{n+1/2}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# Compute the time derivative as the difference of flux directed into the cell.
    du_dt = (f_interface[0:n] - f_interface[1:n+1])/dx
    return du_dt
u = np.zeros((t_steps,n))
u[0] = u_init 
u_curr = u_init.copy()
for k in range (1, t_steps):
     u_curr = u_curr + dt * dudt_rec_upwind(u_curr, t[k-1], dx)
     u[k] = u_curr</t>
  </si>
  <si>
    <t>Burgers Equation</t>
  </si>
  <si>
    <t>advection</t>
  </si>
  <si>
    <t>yes</t>
  </si>
  <si>
    <t>explicit</t>
  </si>
  <si>
    <t>N/A</t>
  </si>
  <si>
    <t>Burgers_Valid2</t>
  </si>
  <si>
    <t>oscillation/restoration</t>
  </si>
  <si>
    <t>import numpy as np
from scipy.integrate import odeint
n = 100
u = np.zeros(shape=(n,))
x0 = 0
xn = 1
dx = (xn - x0)/n
x_interface = np.linspace(x0, xn, n+1)
x = x_interface[0:n] + dx/2
t0 = 0
tn = .5
t_steps = 200
t = np.linspace(t0, tn, t_steps)
dt = t[1] - t[0]
u_init = np.sin(2*np.pi*x)
def limiter(r):
    _r = r.copy()
    _r[_r &lt; 0] = 0
    phi = 2*_r/(1 + _r)
    phi[~np.isfinite(_r)] = 0
    return phi
def godunov(ul, ur):
    # Burgers flux
    fL = ul**2 / 2
    fR = ur**2 / 2
    f_min = 0
    f = np.zeros_like(ul)
    f[ul &gt; ur] = np.maximum(fL[ul &gt; ur], fR[ul &gt; ur])
    f[ul &lt;= ur] = np.minimum(fL[ul &lt;= ur], fR[ul &lt;= ur])
    # Minimum flux at u* 
    f[np.where((ul &lt;= 0) &amp; (ur &gt; 0))] = f_min
    return f
def dudt(u, t, dx):
    n = len(u)
    # u denotes state in cell centers (in the formulas sometimes written as \bar{u})
    # f denotes f(u) in cell centers, using Burgers' equation f(u) = u^2/2    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# Reconstruct u_i_plus_half_left
    r = (u_ip1 - u)/(u - u_im1)
    phi = limiter(r)
    u_iph_left = u + 0.5*(u - u_im1)*phi
    # Reconstruct u_i_plus_half_right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np.zeros((t_steps,n))
u[0] = u_init 
u_curr = u_init.copy()
for k in range (1, t_steps):
     u_curr = u_curr + dt * dudt(u_curr, t[k-1], dx)
     u[k] = u_curr</t>
  </si>
  <si>
    <t>Yes</t>
  </si>
  <si>
    <t>Wave_Comm_Valid_2</t>
  </si>
  <si>
    <t>Burgers_Valid3</t>
  </si>
  <si>
    <t xml:space="preserve">import numpy as np
from scipy.integrate import odeint
n = 200
x0 = 0
xn = 1
dx = (xn - x0)/n
x_interface = np.linspace(x0, xn, n+1)
x = x_interface[0:n] + dx/2
t0 = 0
tn = .5
t_steps = 200
t = np.linspace(t0, tn, t_steps)
dt = t[1] - t[0]
u_init = np.sin(2*np.pi*x)
def dudt_upwind(u_bar, t, dx):
    n = u_bar.shape[0]
    # u_bar denotes state in cell centers (in the formulas written as \bar{u}_i)
    # f_bar denotes f(u_bar) in cell centers, using Burgers' equation f(u) = u^2/2
    f_bar = u_bar**2 / 2
    # Flux at the cell boundaries from f_{0-1/2} to f_{n+1/2}
    f_interface = np.zeros(shape=(n+1,))
    assert f_interface.shape[0] == u_bar.shape[0] + 1
    # Shock speed at the cell boundaries from f_{0-1/2} to f_{n+1/2}, 
    s = np.zeros_like(f_interface)
    s[1:n] = (u_bar[0:n-1] + u_bar[1:n]) / 2
    f_interface[0] = 0
    for i in range(1, n):
        if s[i] &gt; 0:
            f_interface[i] = f_bar[i-1]
        else:
             f_interface[i] = f_bar[i]
    f_interface[n] = 0
    # Compute the time derivative as the difference of flux directed into the cell.
    dudt = (f_interface[0:n] - f_interface[1:n+1])/dx
    return dudt
u = np.zeros((t_steps,n))
u[0] = u_init 
u_curr = u_init.copy()
for k in range (1, t_steps):
     u_curr = u_curr + dt * dudt_upwind(u_curr, t[k-1], dx)
     u[k] = u_curr
</t>
  </si>
  <si>
    <t>import numpy as np\n
# Initial Condition\n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# Spatial and Temporal Mesh Construction\n
L_x = 1.5\n
dx = 0.01\n
N_x = int(L_x/dx)\n
X = np.linspace(0,L_x,N_x+1)\n
L_t = 4\n
dt = 0.01*dx\n
N_t = int(L_t/dt)\n
T = np.linspace(0,L_t,N_t+1)\n
# Velocity array for calculation (via finite elements method)\n
c = np.zeros(N_x+1, float)\n
for i in range(0,N_x+1):\n
    c[i] = celer(X[i])\n
c_1 = c[0]; c_2 = c[N_x]; C2 = (dt/dx)**2; CFL_1 = c_1*(dt/dx); CFL_2 = c_2*(dt/dx)\n
# Loop running the process of integrating the system over the space and time mesh\n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# Process loop (on time mesh)\n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       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</si>
  <si>
    <t>Burgers_Valid4</t>
  </si>
  <si>
    <t>import numpy as np
from scipy.integrate import odeint
n = 100
x0 = 0
xn = 1
dx = (xn - x0)/n
x_interface = np.linspace(x0, xn, n+1)
x = x_interface[0:n] + dx/2
t0 = 0
tn = 0.5
t_steps = 200
t = np.linspace(t0, tn, t_steps)
dt = t[1] - t[0]
u_init = np.sin(2*np.pi*x)
def dudt_central(u_bar, t, dx):
    # u_bar denotes average state in the cells, in formulas above denoted as \bar{u}_i.
    # f_bar denotes f(u_bar) in cell centers, using Burgers' equation f(u) = u^2/2
    n = u_bar.shape[0]
    # Flux f(u_i), computed for average state u_i in cell i.
    f_bar = u_bar**2 / 2
    # Lax-Friedrichs dissipation 
    alpha = np.maximum(np.abs(u_bar[0:n-1]), np.abs(u_bar[1:n])) 
    f_interface = 0.5*(f_bar[0:n-1] + f_bar[1:n]) - 0.5*alpha*(u_bar[1:n] - u_bar[0:n-1])
    # Add flux at boundaries of the domain at interfaces f_{0-1/2} and f_{n+1/2}
    f_interface = np.hstack([0, f_interface, 0])
    assert len(f_interface) == len(u_bar) + 1 
    # Compute the time derivative as the difference of flux directed into the cell.
    du_dt = (f_interface[0:n] - f_interface[1:n+1])/dx
    return du_dt
u = odeint(dudt_central, u_init, t, args=(dx,))
u = np.zeros((t_steps,n))
u[0] = u_init 
u_curr = u_init.copy()
for k in range (1, t_steps):
     u_curr = u_curr + dt * dudt_central(u_curr, t[k-1], dx)
     u[k] = u_curr</t>
  </si>
  <si>
    <t>Wave_Comm_Valid_3</t>
  </si>
  <si>
    <t>Burgers_Invalid1</t>
  </si>
  <si>
    <t>import numpy as np\n
from scipy.integrate import odeint\n
c = 1\n
# Spacial Domain\n
n = 200\n
L = 2*np.pi\n
dx = L / n\n
x = np.linspace(0, L, n)\n
\n
T0 = 0\n
Tn = 2*np.pi\n
t_steps = 200\n
t = np.linspace(T0, Tn, t_steps)\n
\n
# Initial condition, a bump in the middle of the domain.\n
phi_init = np.sin(x/2)**16\n
psi_init = 0*phi_init\n
\n
phi_psi_init = np.hstack([phi_init, psi_init])\n
\n
A_phi = np.zeros(n)\n
A_phi = A_phi + np.diag( 1/(2*dx)*np.ones(n-1,),  1)\n
A_phi = A_phi + np.diag(-1/(2*dx)*np.ones(n-1,), -1)\n
\n
# Cyclic boundary conditions: phi_{-1} = phi_{n-1}\n
A_phi[0,n-1] = -1/(2*dx)\n
A_phi[n-1, 0] = 1/(2*dx)\n
\n
A_psi = np.zeros(n)\n
A_psi = A_psi + np.diag( 1/(2*dx)*np.ones(n-1,),  1)\n
A_psi = A_psi + np.diag(-1/(2*dx)*np.ones(n-1,), -1)\n
\n
# Cyclic boundary conditions: psi_{-1} = psi_{n-1}\n
A_psi[0,n-1] = -1/(2*dx)\n
A_psi[n-1, 0] = 1/(2*dx)\n
\n
# Combine A_phi and A_psi into one matrix\n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</si>
  <si>
    <t>import numpy as np
from scipy.integrate import odeint
from scipy.linalg import toeplitz
# number of cells in 1D space
n = 100
# space
x0 = 0
xn = 1
dx = (xn - x0)/n
x_interface = np.linspace(x0, xn, n+1)
x = x_interface[0:n] + dx/2
# time
t0 = 0
tn = 0.5
t_steps = 200
t = np.linspace(t0, tn, t_steps)
dt = t[1] - t[0]
# Initial condition
u_init = np.sin(2*np.pi*x)
def minmod(a, b): 
    # returns 0 if a,b have opposite signs (or either is 0); else smaller one 
    return np.where(a*b &gt; 0, np.sign(a) * np.minimum(np.abs(a), np.abs(b)), 0.0)
def dudt_rec_upwind(u, t, dx):
    # u denotes state in cell centers (in the formulas sometimes written as \bar{u})
    n = u.shape[0]
    dudx = np.zeros_like(u)
    dudx[1:n-1] = (u[2:n] - u[0:n-2])/(2*dx)
    slope_back = np.zeros_like(u) 
    slope_fwd = np.zeros_like(u) 
    slope_back[1:n-1] = (u[1:n-1] - u[0:n-2])/dx 
    slope_fwd[1:n-1] = (u[2:n] - u[1:n-1])/dx 
    dudx[1:n-1] = minmod(slope_back[1:n-1], slope_fwd[1:n-1])
    dudx[0] = (u[1] - u[0])/dx
    dudx[n-1] = (u[n-1] - u[n-2])/dx
    u_right = u + dudx*dx/2
    u_left = u - dudx*dx/2
    # Compute the flux for every cell i, not in the middle, but at every cell interface _inside_ each cell.
    f_right = u_right**2 / 2
    f_left = u_left**2 / 2
    # Shock speed at the cell interfaces from f_{0-1/2} to f_{n+1/2}, 
    s = np.zeros(shape=(n+1,))
    s[1:n] = (u_right[0:n-1] + u_left[1:n]) / 2
    # Flux at the cell interfaces from f_{0-1/2} to f_{n+1/2}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# Compute the time derivative as the difference of flux directed into the cell.
    du_dt = (f_interface[1:n+1] - f_interface[0:n])/dx
    return du_dt
u = np.zeros((t_steps,n))
u[0] = u_init 
u_curr = u_init.copy()
for k in range (1, t_steps):
     u_curr = u_curr + dt * dudt_rec_upwind(u_curr, t[k-1], dx)
     u[k] = u_curr</t>
  </si>
  <si>
    <t>no</t>
  </si>
  <si>
    <t>explicit/implicit</t>
  </si>
  <si>
    <t>Blows up to NaN</t>
  </si>
  <si>
    <t>Burgers_Invalid2</t>
  </si>
  <si>
    <t>Wave_Comm_Valid_4</t>
  </si>
  <si>
    <t>import numpy as np\n
\n
def spectral_wave_solver(u0, v0, L, T, dt, c):\n
    N = len(u0)\n
    x = np.linspace(0, L, N, endpoint=False)\n
\n
    # Wavenumbers
    k = 2 * np.pi * np.fft.fftfreq(N, d=L/N)\n
\n
    # Fourier transform initial conditions\n
    u0_hat = np.fft.fft(u0)\n
    v0_hat = np.fft.fft(v0)\n
\n
    # Avoid division by zero for k=0\n
    k_abs = np.abs(k)\n
    k_abs[0] = 1e-14\n
\n
    A = u0_hat\n
    B = v0_hat / (c * k_abs)\n
\n
    times = np.arange(0, T, dt)\n
    solution = []\n
\n
    for t in times:\n
        # Exact solution in Fourier space\n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# Initial conditions: Gaussian pulse\n
    u0 = np.exp(-50 * (x - L/2)**2)\n
    v0 = np.zeros_like(x)\n
\n
    x, t, sol = spectral_wave_solver(u0, v0, L, T=5, dt=0.05, c=c)\n</t>
  </si>
  <si>
    <t xml:space="preserve">import numpy as np
from scipy.integrate import odeint
n = 100
u = np.zeros(shape=(n,))
x0 = 0
xn = 1
dx = (xn - x0)/n
x_interface = np.linspace(x0, xn, n+1)
x = x_interface[0:n] + dx/2
t0 = 0
tn = .5
t_steps = 200
t = np.linspace(t0, tn, t_steps)
dt = t[1] - t[0]
u_init = np.sin(2*np.pi*x)
def limiter(r):
    _r = r.copy()
    _r[_r &lt; 0] = 0
    phi = 2*_r/(1 + _r)
    phi[~np.isfinite(_r)] = 0
    return phi
def godunov(ul, ur):
    # Burgers flux
    fL = ul**2 / 2
    fR = ur**2 / 2
    f_min = 0
    f = np.zeros_like(ul)
    f[ul &gt; ur] = np.maximum(fL[ul &gt; ur], fR[ul &gt; ur])
    f[ul &lt;= ur] = np.maximum(fL[ul &lt;= ur], fR[ul &lt;= ur])  
    # Minimum flux at u* 
    f[np.where((ul &lt;= 0) &amp; (ur &gt; 0))] = f_min
    return f
def dudt(u, t, dx):
    n = len(u)
    # u denotes state in cell centers (in the formulas sometimes written as \bar{u})
    # f denotes f(u) in cell centers, using Burgers' equation f(u) = u^2/2    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# Reconstruct u_i_plus_half_left
    r = (u_ip1 - u)/(u - u_im1)
    phi = limiter(r)
    u_iph_left = u + 0.5*(u - u_im1)*phi
    # Reconstruct u_i_plus_half_right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np.zeros((t_steps,n))
u[0] = u_init 
u_curr = u_init.copy()
for k in range (1, t_steps):
     u_curr = u_curr + dt * dudt(u_curr, t[k-1], dx)
     u[k] = u_curr
</t>
  </si>
  <si>
    <t>Wave Equation</t>
  </si>
  <si>
    <t xml:space="preserve">Physically wrong solution; creates a scattered and jagged solution </t>
  </si>
  <si>
    <t>spectral</t>
  </si>
  <si>
    <t>Burgers_Invalid3</t>
  </si>
  <si>
    <t>Heat_Comm_Valid_1</t>
  </si>
  <si>
    <t>import numpy as np
from scipy.integrate import odeint
n = 200
x0 = 0
xn = 1
dx = (xn - x0)/n
x_interface = np.linspace(x0, xn, n+1)
x = x_interface[0:n] + dx/2
t0 = 0
tn = .5
t_steps = 200
t = np.linspace(t0, tn, t_steps)
dt = t[1] - t[0]
u_init = np.sin(2*np.pi*x)
def dudt_upwind(u_bar, t, dx):
    n = u_bar.shape[0]
    # u_bar denotes state in cell centers (in the formulas written as \bar{u}_i)
    # f_bar denotes f(u_bar) in cell centers, using Burgers' equation f(u) = u^2/2
    f_bar = u_bar**2 / 2
    # Flux at the cell boundaries from f_{0-1/2} to f_{n+1/2}
    f_interface = np.zeros(shape=(n+1,))
    assert f_interface.shape[0] == u_bar.shape[0] + 1
    # Shock speed at the cell boundaries from f_{0-1/2} to f_{n+1/2}, 
    s = np.zeros_like(f_interface)
    s[1:n] = (u_bar[0:n-1] + u_bar[1:n]) / 2
    f_interface[0] = 0
    for i in range(1, n):
        if s[i] &gt; 0:
             f_interface[i] = f_bar[i]
        else:
              f_interface[i] = f_bar[i-1]
    f_interface[n] = 0
    # Compute the time derivative as the difference of flux directed into the cell.
    dudt = (f_interface[0:n] - f_interface[1:n+1])/dx
    return dudt
u = np.zeros((t_steps,n))
u[0] = u_init 
u_curr = u_init.copy()
for k in range (1, t_steps):
     u_curr = u_curr + dt * dudt_upwind(u_curr, t[k-1], dx)
     u[k] = u_curr</t>
  </si>
  <si>
    <t>import numpy as np\n
from scipy.integrate import odeint\n
from scipy.linalg import toeplitz\n
\n
k = 1\n
\n
# Spatial domain\n
n = 100\n
L = 1\n
dx = L / n\n
x = np.linspace(0, L, n)\n
\n
# Boundary conditions\n
T0 = 0\n
Tn = 0.1\n
t_steps = 1001\n
t = np.linspace(T0, Tn, t_steps)\n
\n
U0 = 1\n
Un = -1\n
\n
Uinit = np.zeros(shape=(n,))\n
\n
# Constructing the toeplitz matrix that forms the basis of our integrator\n
A = toeplitz([-2.0, 1.0] + [0.0]*(n-2))\n
\n
b = np.zeros(shape=(n))\n
b[0] = U0\n
b[n-1] = Un\n
\n
# Performing the finite difference method usinng the Neumann Boundary Conditions\n
def fn(u, t, A, b, k, dx):\n
    return ((k/dx**2)*np.matmul(A, u) + (k/dx**2)*b)\n
\n
# Solves using the scipy method odeint, which is a wrapper for the method LSODA from ODEPACK Fortran Library\n
u = odeint(fn, Uinit, t, args=(A, b, k, dx))\n</t>
  </si>
  <si>
    <t>Burgers_Invalid4</t>
  </si>
  <si>
    <t>import numpy as np
from scipy.integrate import odeint
n = 100
x0 = 0
xn = 1
dx = (xn - x0)/n
x_interface = np.linspace(x0, xn, n+1)
x = x_interface[0:n] + dx/2
t0 = 0
tn = 0.5
t_steps = 200
t = np.linspace(t0, tn, t_steps)
dt = t[1] - t[0]
u_init = np.sin(2*np.pi*x)
def dudt_central(u_bar, t, dx):
    # u_bar denotes average state in the cells, in formulas above denoted as \bar{u}_i.
    # f_bar denotes f(u_bar) in cell centers, using Burgers' equation f(u) = u^2/2
    n = u_bar.shape[0]
    # Flux f(u_i), computed for average state u_i in cell i.
    f_bar = u_bar**2 / 2
    f_interface = 0.5*(f_bar[0:n-1] + f_bar[1:n]) 
    # Add flux at boundaries of the domain at interfaces f_{0-1/2} and f_{n+1/2}
    f_interface = np.hstack([0, f_interface, 0])
    assert len(f_interface) == len(u_bar) + 1 
    # Compute the time derivative as the difference of flux directed into the cell.
    du_dt = (f_interface[0:n] - f_interface[1:n+1])/dx
    return du_dt
u = odeint(dudt_central, u_init, t, args=(dx,))
u = np.zeros((t_steps,n))
u[0] = u_init 
u_curr = u_init.copy()
for k in range (1, t_steps):
     u_curr = u_curr + dt * dudt_central(u_curr, t[k-1], dx)
     u[k] = u_curr</t>
  </si>
  <si>
    <t>Physically wrong solution, has jaggedness and discontinuities</t>
  </si>
  <si>
    <t>diffusion</t>
  </si>
  <si>
    <t>NavierStokes_Valid1</t>
  </si>
  <si>
    <t>Heat_Comm_Valid_2</t>
  </si>
  <si>
    <t>import numpy as np\n
from scipy.integrate import odeint\n
from scipy.linalg import toeplitz\n
\n
alpha = 0.0012\n
beta = -0.0015\n
Uc = 300\n
\n
# Spacial domain\n
x0 = 0.0\n
xn = 1.0\n
n = 100\n
dx = (xn - x0)/n\n
x = np.linspace(x0, xn, n)\n
\n
# Time steps\n
t0 = 0.0\n
tn = 300.0\n
t_steps = 300\n
dt = (tn - t0)/t_steps\n
t = np.linspace(t0, tn, t_steps)\n
\n
# Boundary conditions\n
B0 = 325\n
B1 = 10\n
\n
# Initial condition, T(x,0)=325 for all x in [0,1]\n
Uinit = np.ones(shape=(n,)) * 325\n
\n
# Discretization matrix A\n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</si>
  <si>
    <t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 RHS of pressure Poisson equation enforcing incompressibility (∇·u = 0)
#  combines divergence of velocity and nonlinear convective terms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# Iterative Jacobi 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# Boundary Conditions
        p[:, -1] = p[:, -2] 
        p[0, :] = p[1, :] 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# Explicit time stepping 
        # includes convection, pressure gradient, and diffusion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# Boundary Conditions
        u[0, :]  = 0
        u[:, 0]  = 0
        u[:, -1] = 0
        u[-1, :] = 1    
        v[0, :]  = 0
        v[-1, :] = 0
        v[:, 0]  = 0
        v[:, -1] = 0  
    return u, v, p
u = numpy.zeros((ny, nx))
v = numpy.zeros((ny, nx))
p = numpy.zeros((ny, nx))
b = numpy.zeros((ny, nx))
nt = 700
u, v, p = cavity_flow(nt, u, v, dt, dx, dy, p, rho, nu)</t>
  </si>
  <si>
    <t>Navier Stokes Equation</t>
  </si>
  <si>
    <t>advection/diffusion</t>
  </si>
  <si>
    <t xml:space="preserve">explicit </t>
  </si>
  <si>
    <t>NavierStokes_Valid2</t>
  </si>
  <si>
    <t>import numpy
from matplotlib import pyplot, cm
def build_up_b(rho, dt, dx, dy, u, v):
    b = numpy.zeros_like(u)
    # RHS of pressure Poisson equation 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Periodic Boundary Conditions 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# Jacobi Iteration 
        p[1:-1, 1:-1] = (((pn[1:-1, 2:] + pn[1:-1, 0:-2]) * dy**2 +
                          (pn[2:, 1:-1] + pn[0:-2, 1:-1]) * dx**2) /
                         (2 * (dx**2 + dy**2)) -
                         dx**2 * dy**2 / (2 * (dx**2 + dy**2)) * b[1:-1, 1:-1])
        # Periodic boundary conditions 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# Explicit finite difference update of navier stokes equation 
    # convection, pressure gradient, diffusion, and forcing term 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</t>
  </si>
  <si>
    <t>NavierStokes_Valid3</t>
  </si>
  <si>
    <t xml:space="preserve">from time import time
import numpy as np
from mpi4py import MPI
from mpi4py_fft import PFFT, newDistArray
nu = 0.000625
T = 0.1
dt = 0.01
M = 6
N = [2**M, 2**M, 2**M]
L = np.array([2*np.pi, 4*np.pi, 4*np.pi], dtype=float) 
FFT = PFFT(MPI.COMM_WORLD, N, collapse=False)
FFT_pad = FFT
# U is velocity in physical space, U_hat is velocity in fourier space 
U = newDistArray(FFT, False, rank=1, view=True)      
U_hat = newDistArray(FFT, rank=1, view=True)       
P = newDistArray(FFT, False, view=True)               
P_hat = newDistArray(FFT, view=True)                 
U_hat0 = newDistArray(FFT, rank=1, view=True)         
U_hat1 = newDistArray(FFT, rank=1, view=True) 
# RK4 coefficients for explicit time integration        
a = [1./6., 1./3., 1./3., 1./6.]        
b = [0.5, 0.5, 1.]                     
dU = newDistArray(FFT, rank=1, view=True)            
curl = newDistArray(FFT, False, rank=1, view=True)
U_pad = newDistArray(FFT_pad, False, rank=1, view=True)
curl_pad = newDistArray(FFT_pad, False, rank=1, view=True)
def get_local_mesh(FFT, L):
    # local spatial grid 
    X = np.ogrid[FFT.local_slice(False)]
    N = FFT.global_shape()
    X = [np.broadcast_to(x*L[i]/N[i], FFT.shape(False)) for i, x in enumerate(X)]
    return X
def get_local_wavenumbermesh(FFT, L):
    # fourier wavenumbers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# nonlinear term, computing in physical space then transforming back to fourier space 
    z[0] = FFT_pad.forward(x[1]*y[2]-x[2]*y[1], z[0])
    z[1] = FFT_pad.forward(x[2]*y[0]-x[0]*y[2], z[1])
    z[2] = FFT_pad.forward(x[0]*y[1]-x[1]*y[0], z[2])
    return z
def compute_curl(x, z):
    # compute vorticity using spectral derivatives 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# Spectral projection 
    P_hat[:] = np.sum(rhs*K_over_K2, 0, out=P_hat)
    rhs -= P_hat*K
    # Adding viscosity 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# explicit rk4 time stepping 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</si>
  <si>
    <t xml:space="preserve">explicit/spectral </t>
  </si>
  <si>
    <t>NavierStokes_Valid4</t>
  </si>
  <si>
    <t xml:space="preserve">from functools import partial
import jax
import jax.numpy as jnp
from jax import jit, vmap, lax, random
import tqdm
import numpy as np
from jax_cfd.base import grids, initial_conditions
# Wavenumber grids
def rfft_mesh(Nx, Ny):
    kx = jnp.fft.fftfreq(Nx)[:, None] * Nx / (2 * jnp.pi) * jnp.ones((1, Ny // 2 + 1))
    ky = jnp.fft.rfftfreq(Ny)[None, :] * Ny / (2 * jnp.pi) * jnp.ones((Nx, 1))
    return kx, ky
# Anti-aliasing filter (2/3 rule)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# Vorticity -&gt; velocity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# Initial Conditions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# Explict terms (advection only)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# CN-RK4 timestep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# Single trajectory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</si>
  <si>
    <t xml:space="preserve">explicit/implicit/spectral </t>
  </si>
  <si>
    <t>NavierStokes_Invalid1</t>
  </si>
  <si>
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 RHS of pressure Poisson equation enforcing incompressibility (∇·u = 0)
#  combines divergence of velocity and nonlinear convective terms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# Iterative Jacobi 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# Boundary Conditions
        p[:, -1] = p[:, -2] 
        p[0, :] = p[1, :] 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# Explicit time stepping 
        # includes convection, pressure gradient, and diffusion
        u[1:-1, 1:-1] = (un[1:-1, 1:-1]-
                         un[1:-1, 1:-1] * dt / dx *
                        (un[1:-1, 1:-1] - un[1:-1, 0:-2]) -
                         vn[1:-1, 1:-1] * dt / dy *
                        (un[1:-1, 1:-1] - un[0:-2, 1:-1]) +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+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# Boundary Conditions
        u[0, :]  = 0
        u[:, 0]  = 0
        u[:, -1] = 0
        u[-1, :] = 1    
        v[0, :]  = 0
        v[-1, :] = 0
        v[:, 0]  = 0
        v[:, -1] = 0  
    return u, v, p
u = numpy.zeros((ny, nx))
v = numpy.zeros((ny, nx))
p = numpy.zeros((ny, nx))
b = numpy.zeros((ny, nx))
nt = 700
u, v, p = cavity_flow(nt, u, v, dt, dx, dy, p, rho, nu)
</t>
  </si>
  <si>
    <t>Blows up to NaNs</t>
  </si>
  <si>
    <t>NavierStokes_Invalid2</t>
  </si>
  <si>
    <t>import numpy
from matplotlib import pyplot, cm
def build_up_b(rho, dt, dx, dy, u, v):
    b = numpy.zeros_like(u)
    # RHS of pressure Poisson equation 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Periodic Boundary Conditions 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# Jacobi Iteration 
        p[1:-1, 1:-1] = (((pn[1:-1, 2:] + pn[1:-1, 0:-2]) * dy**2 +
                          (pn[2:, 1:-1] + pn[0:-2, 1:-1]) * dx**2) /
                         (2 * (dx**2 + dy**2)) -
                         dx**2 * dy**2 / (2 * (dx**2 + dy**2)) * b[1:-1, 1:-1])
        # Periodic boundary conditions 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# Explicit finite difference update of navier stokes equation 
    # convection, pressure gradient, diffusion, and forcing term 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-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-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-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-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-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-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</t>
  </si>
  <si>
    <t>Blows up to very large number</t>
  </si>
  <si>
    <t>NavierStokes_Invalid3</t>
  </si>
  <si>
    <t>from time import time
import numpy as np
from mpi4py import MPI
from mpi4py_fft import PFFT, newDistArray
nu = 0.000625
T = 0.1
dt = 0.01
M = 6
N = [2**M, 2**M, 2**M]
L = np.array([2*np.pi, 4*np.pi, 4*np.pi], dtype=float) 
FFT = PFFT(MPI.COMM_WORLD, N, collapse=False)
FFT_pad = FFT
# U is velocity in physical space, U_hat is velocity in fourier space 
U = newDistArray(FFT, False, rank=1, view=True)      
U_hat = newDistArray(FFT, rank=1, view=True)       
P = newDistArray(FFT, False, view=True)               
P_hat = newDistArray(FFT, view=True)                 
U_hat0 = newDistArray(FFT, rank=1, view=True)         
U_hat1 = newDistArray(FFT, rank=1, view=True) 
# RK4 coefficients for explicit time integration        
a = [1./6., 1./3., 1./3., 1./6.]        
b = [0.5, 0.5, 1.]                     
dU = newDistArray(FFT, rank=1, view=True)            
curl = newDistArray(FFT, False, rank=1, view=True)
U_pad = newDistArray(FFT_pad, False, rank=1, view=True)
curl_pad = newDistArray(FFT_pad, False, rank=1, view=True)
def get_local_mesh(FFT, L):
    # local spatial grid 
    X = np.ogrid[FFT.local_slice(False)]
    N = FFT.global_shape()
    X = [np.broadcast_to(x*L[i]/N[i], FFT.shape(False)) for i, x in enumerate(X)]
    return X
def get_local_wavenumbermesh(FFT, L):
    # fourier wavenumbers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K2.astype(float)
def cross(x, y, z):
    # nonlinear term, computing in physical space then transforming back to fourier space 
    z[0] = FFT_pad.forward(x[1]*y[2]-x[2]*y[1], z[0])
    z[1] = FFT_pad.forward(x[2]*y[0]-x[0]*y[2], z[1])
    z[2] = FFT_pad.forward(x[0]*y[1]-x[1]*y[0], z[2])
    return z
def compute_curl(x, z):
    # compute vorticity using spectral derivatives 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# Spectral projection 
    P_hat[:] = np.sum(rhs*K_over_K2, 0, out=P_hat)
    rhs -= P_hat*K
    # Adding viscosity 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# explicit rk4 time stepping 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</t>
  </si>
  <si>
    <t xml:space="preserve">Produces NaNs immediately </t>
  </si>
  <si>
    <t>NavierStokes_Invalid4</t>
  </si>
  <si>
    <t>from functools import partial
import jax
import jax.numpy as jnp
from jax import jit, vmap, lax, random
import tqdm
import numpy as np
from jax_cfd.base import grids, initial_conditions
# Wavenumber grids
def rfft_mesh(Nx, Ny):
    kx = jnp.fft.fftfreq(Nx)[:, None] * Nx / (2 * jnp.pi) * jnp.ones((1, Ny // 2 + 1))
    ky = jnp.fft.rfftfreq(Ny)[None, :] * Ny / (2 * jnp.pi) * jnp.ones((Nx, 1))
    return kx, ky
# Anti-aliasing filter (2/3 rule)
def brick_wall_filter_2d(Nx, Ny):
    return jnp.ones((Nx, Ny // 2 + 1))
# Vorticity -&gt; velocity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# Initial Conditions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# Explict terms (advection only)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# CN-RK4 timestep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# Single trajectory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</t>
  </si>
  <si>
    <t>Gradually Builds Oscillations</t>
  </si>
  <si>
    <t>Heat_Comm_Valid_3</t>
  </si>
  <si>
    <t>import numpy as np\n
from scipy.integrate import odeint\n
from scipy.linalg import toeplitz\n
\n
# Constant kappa\n
k = 1\n
\n
# Spacial domain\n
n = 100\n
L = 1\n
dx = L / n\n
x = np.linspace(0, L, n)\n
\n
# Time steps\n
T0 = 0\n
Tn = 0.1\n
t_steps = 100\n
t = np.linspace(T0, Tn, t_steps)\n
\n
# Boundary conditions\n
U0 = 1\n
Un = -1\n
\n
# Initial condition, u(x,0)=0\n
Uinit = np.zeros(shape=(n,))\n
\n
# Discretization matrix A\n
A = toeplitz([-2.0, 1.0] + [0.0]*(n-2))\n
\n
# Vector with boundary conditions b\n
b = np.zeros(shape=(n))\n
b[0] = U0\n
b[n-1] = Un\n
\n
def fn(u, t, A, b, k, dx):\n
    return ((k/dx**2)*np.matmul(A, u) + (k/dx**2)*b)\n
\n
u = odeint(fn, Uinit, t, args=(A, b, k, dx))</t>
  </si>
  <si>
    <t>Heat_Comm_Valid_4</t>
  </si>
  <si>
    <t>import numpy as np\n
\n
k = 0.001\n
\n
n = 50\n
L = 1\n
dx = L/n\n
x = np.linspace(0, L, n)\n
\n
T0 = 0\n
Tn = 240\n
t_steps = (Tn - T0)*10\n
dt = (Tn - T0)/t_steps\n
\n
# Boundary conditions\n
U0 = 100\n
U1 = 0\n
\n
# Initial condition, u(x,0)=0\n
Uinit = 0\n
\n
# Courant-Friedrichs-Levy number\n
CFL = k * dt / dx**2\n
print(f"CFL: {CFL:0.3f} &lt; 0.5")\n
assert CFL &lt; 0.5\n
\n
u = np.ones(shape=(t_steps, n)) * Uinit\n
\n
# Differential matrix. (Note that the matrix includes the nodes at the walls. The derivative is zero at the walls)\n
D = np.zeros(shape=(n, n))\n
for i in range(1, n-1):\n
    D[i, i-1] = 1\n
    D[i, i] = -2\n
    D[i, i+1] = 1\n
\n
# partial derivative vector du/dt\n
dudt = np.zeros(shape=(n))\n
\n
for t in range(0, t_steps-1):\n
    u[t, 0] = U0\n
    u[t, n-1] = U1\n
    dudt = k * np.matmul(D, u[t])/dx**2\n
    u[t+1] = u[t] + dudt * dt\n</t>
  </si>
  <si>
    <t>Wave_NoComm_Valid_1</t>
  </si>
  <si>
    <t>import numpy as np\n
\n
def I(x,y):\n
    return 0.2*np.exp(-((x-1)**2/0.1 + (y-1)**2/0.1))\n
def V(x,y):\n
    return 0\n
def celer(x,y):\n
    return 1\n
loop_exec = 1\n
bound_cond = 2\n
if bound_cond not in [1,2,3]:\n
    loop_exec = 0\n
    print("Please choose a correct boundary condition")\n
\n
L_x = 5\n
dx = 0.05\n
N_x = int(L_x/dx)\n
X = np.linspace(0,L_x,N_x+1)\n
L_y = 5\n
dy = 0.05\n
N_y = int(L_y/dy)\n
Y = np.linspace(0,L_y,N_y+1)\n
L_t = 4\n
dt = dt = 0.1*min(dx, dy)\n
N_t = int(L_t/dt)\n
T = np.linspace(0,L_t,N_t+1)\n
\n
c = np.zeros((N_x+1,N_y+1), float)\n
for i in range(0,N_x+1):\n
    for j in range(0,N_y+1):\n
        c[i,j] = celer(X[i],Y[j])\n
Cx2 = (dt/dx)**2; Cy2 = (dt/dy)**2\n
CFL_1 = dt/dy*c[:,0]; CFL_2 = dt/dy*c[:,N_y]; CFL_3 = dt/dx*c[0,:]; CFL_4 =dt/dx*c[N_x,:]\n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u_n[i,j])\n
        i,j = N_x,0; u_np1[i,j] = 2*u_n[i,j] - (u_n[i,j] - 2*dt*V_init[i,j]) + Cx2*(q[i,j] + q[i-1,j])*(u_n[i-1,j] - u_n[i,j]) + Cy2*(q[i,j] + q[i,j+1])*(u_n[i,j+1] - u_n[i,j])\n     
        i,j = N_x,N_y; u_np1[i,j] = 2*u_n[i,j] - (u_n[i,j] - 2*dt*V_init[i,j]) + Cx2*(q[i,j] + q[i-1,j])*(u_n[i-1,j] - u_n[i,j]) + Cy2*(q[i,j] + q[i,j-1])*(u_n[i,j-1] - u_n[i,j])\n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u_n.copy()\n
        u_n = u_np1.copy()\n
        U[:,:,n] = u_n.copy()\n</t>
  </si>
  <si>
    <t>Wave_NoComm_Valid_2</t>
  </si>
  <si>
    <t>import numpy as np\n
\n
\n
def I(x):\n
    return np.exp(-(x)**2/0.01)\n
def celer(x):\n
    if x &lt;=0.7:\n 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\n
L_x = 1.5\n
dx = 0.01\n
N_x = int(L_x/dx)\n
X = np.linspace(0,L_x,N_x+1)\n
L_t = 4\n
dt = 0.01*dx\n
N_t = int(L_t/dt)\n
T = np.linspace(0,L_t,N_t+1)\n
\n
c = np.zeros(N_x+1, float)\n
for i in range(0,N_x+1):\n
    c[i] = celer(X[i])\n
c_1 = c[0]; c_2 = c[N_x]; C2 = (dt/dx)**2; CFL_1 = c_1*(dt/dx); CFL_2 = c_2*(dt/dx)\n
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\n    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</si>
  <si>
    <t>Wave_NoComm_Valid_3</t>
  </si>
  <si>
    <t>import numpy as np\n
from scipy.integrate import odeint\n
c = 1\n
\n
n = 200\n
L = 2*np.pi\n
dx = L / n\n
x = np.linspace(0, L, n)\n
\n
T0 = 0\n
Tn = 2*np.pi\n
t_steps = 200\n
t = np.linspace(T0, Tn, t_steps)\n
\n
\n
phi_init = np.sin(x/2)**16\n
psi_init = 0*phi_init\n
\n
phi_psi_init = np.hstack([phi_init, psi_init])\n
\n
A_phi = np.zeros(n)\n
A_phi = A_phi + np.diag( 1/(2*dx)*np.ones(n-1,),  1)\n
A_phi = A_phi + np.diag(-1/(2*dx)*np.ones(n-1,), -1)\n
\n
\n
A_phi[0,n-1] = -1/(2*dx)\n
A_phi[n-1, 0] = 1/(2*dx)\n
\n
A_psi = np.zeros(n)\n
A_psi = A_psi + np.diag( 1/(2*dx)*np.ones(n-1,),  1)\n
A_psi = A_psi + np.diag(-1/(2*dx)*np.ones(n-1,), -1)\n
\n
\n
A_psi[0,n-1] = -1/(2*dx)\n
A_psi[n-1, 0] = 1/(2*dx)\n
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</si>
  <si>
    <t>Wave_NoComm_Valid_4</t>
  </si>
  <si>
    <t>import numpy as np\n
\n
def spectral_wave_solver(u0, v0, L, T, dt, c):\n
    N = len(u0)\n
    x = np.linspace(0, L, N, endpoint=False)\n
\n
\n
    k = 2 * np.pi * np.fft.fftfreq(N, d=L/N)\n
\n
\n
    u0_hat = np.fft.fft(u0)\n
    v0_hat = np.fft.fft(v0)\n
\n
\n
    k_abs = np.abs(k)\n
    k_abs[0] = 1e-14\n
\n
    A = u0_hat\n
    B = v0_hat / (c * k_abs)\n
\n
    times = np.arange(0, T, dt)\n
    solution = []\n
\n
    for t in times:\n
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\n
    u0 = np.exp(-50 * (x - L/2)**2)\n
    v0 = np.zeros_like(x)\n
\n
    x, t, sol = spectral_wave_solver(u0, v0, L, T=5, dt=0.05, c=c)\n</t>
  </si>
  <si>
    <t>Heat_NoComm_Valid_1</t>
  </si>
  <si>
    <t>import numpy as np\n
from scipy.integrate import odeint\n
from scipy.linalg import toeplitz\n
\n
k = 1\n
\n
\n
n = 100\n
L = 1\n
dx = L / n\n
x = np.linspace(0, L, n)\n
\n
\n
T0 = 0\n
Tn = 0.1\n
t_steps = 1000\n
t = np.linspace(T0, Tn, t_steps)\n
\n
U0 = 1\n
Un = -1\n
\n
Uinit = np.zeros(shape=(n,))\n
\n
\n
A = toeplitz([-2.0, 1.0] + [0.0]*(n-2))\n
\n
b = np.zeros(shape=(n))\n
b[0] = U0\n
b[n-1] = Un\n
\n
\n
def fn(u, t, A, b, k, dx):\n
    return ((k/dx**2)*np.matmul(A, u) + (k/dx**2)*b)\n
\n
\n
u = odeint(fn, Uinit, t, args=(A, b, k, dx))\n</t>
  </si>
  <si>
    <t>Heat_NoComm_Valid_2</t>
  </si>
  <si>
    <t>import numpy as np\n
from scipy.integrate import odeint\n
from scipy.linalg import toeplitz\n
\n
alpha = 0.0012\n
beta = -0.0015\n
Uc = 300\n
\n
\n
x0 = 0.0\n
xn = 1.0\n
n = 100\n
dx = (xn - x0)/n\n
x = np.linspace(x0, xn, n)\n
\n
\n
t0 = 0.0\n
tn = 300.0\n
t_steps = 300\n
dt = (tn - t0)/t_steps\n
t = np.linspace(t0, tn, t_steps)\n
\n
\n
B0 = 325\n
B1 = 10\n
\n
\n
Uinit = np.ones(shape=(n,)) * 325\n
\n
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</si>
  <si>
    <t>Heat_NoComm_Valid_3</t>
  </si>
  <si>
    <t>import numpy as np\n
from scipy.integrate import odeint\n
from scipy.linalg import toeplitz\n
\n
\n
k = 1\n
\n
\n
n = 100\n
L = 1\n
dx = L / n\n
x = np.linspace(0, L, n)\n
\n
\n
T0 = 0\n
Tn = 0.1\n
t_steps = 100\n
t = np.linspace(T0, Tn, t_steps)\n
\n
\n
U0 = 1\n
Un = -1\n
\n
\n
Uinit = np.zeros(shape=(n,))\n
\n
\n
A = toeplitz([-2.0, 1.0] + [0.0]*(n-2))\n
\n
\n
b = np.zeros(shape=(n))\n
b[0] = U0\n
b[n-1] = Un\n
\n
def fn(u, t, A, b, k, dx):\n
    return ((k/dx**2)*np.matmul(A, u) + (k/dx**2)*b)\n
\n
u = odeint(fn, Uinit, t, args=(A, b, k, dx))\n</t>
  </si>
  <si>
    <t>Heat_NoComm_Valid_4</t>
  </si>
  <si>
    <t>import numpy as np\n
\n
k = 0.001\n
\n
n = 50\n
L = 1\n
dx = L/n\n
x = np.linspace(0, L, n)\n
\n
T0 = 0\n
Tn = 240\n
t_steps = (Tn - T0)*10\n
dt = (Tn - T0)/t_steps\n
\n
\n
U0 = 100\n
U1 = 0\n
\n
\n
Uinit = 0\n
\n
\n
CFL = k * dt / dx**2\n
print(f"CFL: {CFL:0.3f} &lt; 0.5")\n
assert CFL &lt; 0.5\n
\n
u = np.ones(shape=(t_steps, n)) * Uinit\n
\n
\n
D = np.zeros(shape=(n, n))\n
for i in range(1, n-1):\n
    D[i, i-1] = 1\n
    D[i, i] = -2\n
    D[i, i+1] = 1\n
\n
\n
dudt = np.zeros(shape=(n))\n
\n
for t in range(0, t_steps-1):\n
    u[t, 0] = U0\n
    u[t, n-1] = U1\n
    dudt = k * np.matmul(D, u[t])/dx**2\n
    u[t+1] = u[t] + dudt * dt\n</t>
  </si>
  <si>
    <t>Wave_NoComm_InValid_1</t>
  </si>
  <si>
    <t>import numpy as np\n
\n
def I(x,y):\n
    return 0.2*np.exp(-((x-1)**2/0.1 + (y-1)**2/0.1))\n
def V(x,y):\n
    return 0\n
def celer(x,y):\n
    return 1\n
loop_exec = 1\n
bound_cond = 2\n
if bound_cond not in [1,2,3]:\n
    loop_exec = 0\n
    print("Please choose a correct boundary condition")\n
\n
L_x = 5\n
dx = 0.05\n
N_x = int(L_x/dx)\n
X = np.linspace(0,L_x,N_x+1)\n
L_y = 5\n
dy = 0.05\n
N_y = int(L_y/dy)\n
Y = np.linspace(0,L_y,N_y+1)\n
L_t = 4\n
dt = dt = 0.1*min(dx, dy)\n
N_t = int(L_t/dt)\n
T = np.linspace(0,L_t,N_t+1)\n
\n
c = np.zeros((N_x+1,N_y+1), float)\n
for i in range(0,N_x+1):\n
    for j in range(0,N_y+1):\n
        c[i,j] = celer(X[i],Y[j])\n
Cx2 = (dt/dx)**2; Cy2 = (dt/dy)**2\n
CFL_1 = dt/dy*c[:,0]; CFL_2 = dt/dy*c[:,N_y]; CFL_3 = dt/dx*c[0,:]; CFL_4 =dt/dx*c[N_x,:]\n
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\n
    for n in range(2, N_t):\n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-2*u_n[i,j] - u_nm1[i,j] + Cx2*(q[i,j] + q[i+1,j])*(u_n[i+1,j] - u_n[i,j]) + Cy2*(q[i,j] + q[i,j+1])*(u_n[i,j+1] - u_n[i,j])\n
            i,j = 0,N_y; u_np1[i,j] = -2*u_n[i,j] - u_nm1[i,j] + Cx2*(q[i,j] + q[i+1,j])*(u_n[i+1,j] - u_n[i,j]) + Cy2*(q[i,j] + q[i,j-1])*(u_n[i,j-1] - u_n[i,j])\n
            i,j = N_x,0; u_np1[i,j] = -2*u_n[i,j] - u_nm1[i,j] + Cx2*(q[i,j] + q[i-1,j])*(u_n[i-1,j] - u_n[i,j]) + Cy2*(q[i,j] + q[i,j-1])*(u_n[i,j-1] - u_n[i,j])\n
            i,j = N_x,N_y; u_np1[i,j] = -2*u_n[i,j] - u_nm1[i,j] + Cx2*(q[i,j] + q[i-1,j])*(u_n[i-1,j] - u_n[i,j]) + Cy2*(q[i,j] + q[i,j-1])*(u_n[i,j-1] - u_n[i,j])\n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u_n.copy()\n
        u_n = u_np1.copy()\n
        U[:,:,n] = u_n.copy()\n</t>
  </si>
  <si>
    <t>No</t>
  </si>
  <si>
    <t>Why Invalid: Energy of the system increases over time - wave spikes to infinity</t>
  </si>
  <si>
    <t>Sign flip: (see line 52: 2*u_n became -2*u_n)</t>
  </si>
  <si>
    <t>Wave_NoComm_InValid_2</t>
  </si>
  <si>
    <t>import numpy as np\n
\n
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\n
L_x = 1.5\n
dx = 0.01\n
N_x = int(L_x/dx)\n
X = np.linspace(0,L_x,N_x+1)\n
L_t = 4\n
dt = 0.01*dx\n
N_t = int(L_t/dt)\n
T = np.linspace(0,L_t,N_t+1)\n
\n
c = np.zeros(N_x+1, float)\n
for i in range(0,N_x+1):\n
    c[i] = celer(X[i])\n
c_1 = c[0]; c_2 = c[N_x]; C2 = (dt/dx)**2; CFL_1 = c_1*(dt/dx); CFL_2 = c_2*(dt/dx)\n
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\n
    for j in range(1, N_t):\n
        u_jp1[1:N_x] = 10*u_jm1[1:N_x] + 2*u_j[1:N_x] + C2*( 0.5*(q[1:N_x] + q[2:N_x+1])*(u_j[2:N_x+1] - u_j[1:N_x]) - 0.5*(q[0:N_x-1] + q[1:N_x])*(u_j[1:N_x] - u_j[0:N_x-1]))\n
        if left_bound_cond == 1:\n
            u_jp1[0] = 0\n
        elif left_bound_cond == 2:\n
            u_jp1[0] = 5*u_jm1[0] + 2*u_j[0] + C2*( 0.5*(q[0] + q[0+1])*(u_j[0+1] - u_j[0]) - 0.5*(q[0] + q[0+1])*(u_j[0] - u_j[0+1]))       \n
        elif left_bound_cond == 3:\n
            u_jp1[0] = 2*u_j[1]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</si>
  <si>
    <t>Why Invalid: Energy of the system increases over time - wave compresses to the boundary point and then runs off</t>
  </si>
  <si>
    <t>Sign flip and coefficient changes: (-u_jm1[1:N_x] becomes 10u_jm1[1:N_x] near line 147, -u_jm1[0] becomes 5u_jm1[0] near line 150, u_j[1] becomes 2*u_j[1] near line 152)</t>
  </si>
  <si>
    <t>Wave_NoComm_InValid_3</t>
  </si>
  <si>
    <t>import numpy as np\n
from scipy.integrate import odeint\n
c = 1\n
n = 200\n
L = 2*np.pi\n
dx = L / n\n
x = np.linspace(0, L, n)\n
\n
T0 = 0\n
Tn = 2*np.pi\n
t_steps = 200\n
t = np.linspace(T0, Tn, t_steps)\n
\n
phi_init = np.sin(x/2)**16\n
psi_init = 0*phi_init\n
\n
phi_psi_init = np.hstack([phi_init, psi_init])\n
\n
A_phi = np.zeros(n)\n
A_phi = A_phi + np.diag( 1/(2*dx)*np.ones(n-1,),  1)\n
A_phi = A_phi + np.diag(-1/(2*dx)*np.ones(n-1,), -1)\n
\n
A_phi[0,n-1] = -1/(2*dx)\n
A_phi[n-1, 0] = 1/(2*dx)\n
\n
A_psi = np.zeros(n)\n
A_psi = A_psi + np.diag( 1/(2*dx)*np.ones(n-1,),  1)\n
A_psi = A_psi + np.diag(-1/(2*dx)*np.ones(n-1,), -1)\n
\n
A_psi[0,n-1] = -1/(2*dx)\n
A_psi[n-1, 0] = 1/(2*dx)\n
\n
A = np.zeros(shape=(2*n,2*n))\n
A[:n, :n] = A_phi\n
A[n:, n:] = A_psi\n
\n
def ddt(phi_psi, t, A, n):\n
    ddx =  np.matmul(A, phi_psi)\n
    dphidx = ddx[:n]\n
    dpsidx = ddx[n:]\n
    dpsidt = dphidx + np.ones_like(dpsidx)\n
    dphidt = dpsidx + np.ones_like(dphidx)\n
    return np.hstack([dphidt, dpsidt])\n
\n
phi_psi = odeint(ddt, phi_psi_init, t, args=(A, n))\n</t>
  </si>
  <si>
    <t>Why Invalid: Wave leaves the boundary conditions over time</t>
  </si>
  <si>
    <t>Significant Code Change: np.hstack([dphidt, dpsidt]) becomes np.hstack([np.zeros_like(dphidt), np.zeros_like(dpsidt)]) near line 209</t>
  </si>
  <si>
    <t>Wave_NoComm_InValid_4</t>
  </si>
  <si>
    <t>import numpy as np\n
\n
def spectral_wave_solver(u0, v0, L, T, dt, c):\n
    N = len(u0)\n
    x = np.linspace(0, L, N, endpoint=False)\n
\n
\n
    k = 2 * np.pi * np.fft.fftfreq(N, d=L/N)\n
\n
\n
    u0_hat = np.fft.fft(u0)\n
    v0_hat = np.fft.fft(v0)\n
\n
\n
    k_abs = k\n
\n
\n
    A = u0_hat\n
    B = v0_hat / (c * k_abs)\n
\n
    times = np.arange(0, T, dt)\n
    solution = []\n
\n
    for t in times:\n
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\n
    u0 = np.exp(-50 * (x - L/2)**2)\n
    v0 = np.zeros_like(x)\n
\n
    x, t, sol = spectral_wave_solver(u0, v0, L, T=5, dt=0.05, c=c)\n</t>
  </si>
  <si>
    <t>Why Invalid: Causes NaNs when plotting values - NaNs are present in the function</t>
  </si>
  <si>
    <t>Significant Code Change: k_abs = np.abs(k)\n k_abs[0] = 1e-14 becomes just k_abs = k\n</t>
  </si>
  <si>
    <t>Heat_NoComm_InValid_1</t>
  </si>
  <si>
    <t>import numpy as np\n
from scipy.integrate import odeint\n
from scipy.linalg import toeplitz\n
\n
k = 1\n
\n
\n
n = 100\n
L = 1\n
dx = L / n\n
x = np.linspace(0, L, n)\n
\n
\n
T0 = 0\n
Tn = 0.1\n
t_steps = 1000\n
t = np.linspace(T0, Tn, t_steps)\n
\n
U0 = 1\n
Un = -1\n
\n
Uinit = np.zeros(shape=(n,))\n
\n
\n
A = toeplitz([-2.0, 1.0] + [0.0]*(n-2))\n
\n
b = np.zeros(shape=(n))\n
b[0] = U0\n
b[n-1] = Un\n
\n
\n
def fn(u, t, A, b, k, dx):\n
    return ((k/dx**2)*np.matmul(-A, u) + (k/dx**3)*b)\n
\n
\n
u = odeint(fn, Uinit, t, args=(A, b, k, dx))\n</t>
  </si>
  <si>
    <t>Heat Equation</t>
  </si>
  <si>
    <t>Why Invalid: Extreme Spikes in temperature between very short intervals that perist over time from u[0] - u[100]</t>
  </si>
  <si>
    <t>Sign flip: return ((k/dx**2)*np.matmul(A, u) + (k/dx**2)*b) becomes return ((k/dx**2)*np.matmul(-A, u) + (k/dx**2)*b) near line 305</t>
  </si>
  <si>
    <t>Heat_NoComm_InValid_2</t>
  </si>
  <si>
    <t>import numpy as np\n
from scipy.integrate import odeint\n
from scipy.linalg import toeplitz\n
\n
alpha = 0.0012\n
beta = -0.0015\n
Uc = 300\n
\n
\n
x0 = 0.0\n
xn = 1.0\n
n = 1000\n
dx = (xn - x0)/n\n
x = np.linspace(x0, xn, n)\n
\n
\n
t0 = 0.0\n
tn = 300.0\n
t_steps = 300\n
dt = (tn - t0)/t_steps\n
t = np.linspace(t0, tn, t_steps)\n
\n
\n
B0 = 325\n
B1 = 10\n
\n
\n
Uinit = np.ones(shape=(n,)) * 325\n
\n
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-u) - b)\n
\n
u = odeint(fn, Uinit, t, args=(A, b))\n</t>
  </si>
  <si>
    <t>Why Invalid: Has spiking negative temperatures at u[1]</t>
  </si>
  <si>
    <t>Sign flip and Significant Code Change: return (np.matmul(A, u) + b) becomes return (np.matmul(-A, u+np.ones_like(u)) + b) near line 350</t>
  </si>
  <si>
    <t>Heat_NoComm_InValid_3</t>
  </si>
  <si>
    <t>import numpy as np\n
from scipy.integrate import odeint\n
from scipy.linalg import toeplitz\n
\n
\n
k = 1.0\n
\n
\n
n = 100\n
L = 1\n
dx = L / n\n
x = np.linspace(0, L, n)\n
\n
\n
T0 = 0.0\n
Tn = 0.1\n
t_steps = 100\n
t = np.linspace(T0, Tn, t_steps)\n
\n
\n
B0 = 1.0\n
Bn = -1.0\n
\n
\n
Uinit = np.zeros(shape=(n,))\n
\n
\n
A = toeplitz([-2.0, -1.0] + [0.0]*(n-2))\n
\n
\n
b = np.zeros(shape=(n))\n
b[0] = B0\n
b[n-1] = Bn\n
\n
def fn(u, t, A, b, k, dx):\n
    return ((k/dx**2)*np.matmul(A, u) + (k/dx**2)*b)\n
\n
u = odeint(fn, Uinit, t, args=(A, b, k, dx))\n</t>
  </si>
  <si>
    <t>Why Invalid: Extreme Spikes in temperature between very short intervals that worsen/amplify over time, has negative temperatures</t>
  </si>
  <si>
    <t>Toeplitz Matrix Change: A = toeplitz([-2.0, 1.0] + [0.0]*(n-2)) becomes A = toeplitz([-2.0, -1.0] + [0.0]*(n-2))</t>
  </si>
  <si>
    <t>Heat_NoComm_InValid_4</t>
  </si>
  <si>
    <t>import numpy as np\n
\n
k = 0.001\n
\n
n = 50\n
L = 1\n
dx = L/n\n
x = np.linspace(0, L, n)\n
\n
T0 = 0\n
Tn = 240\n
t_steps = (Tn - T0)*10\n
dt = (Tn - T0)/t_steps\n
\n
\n
U0 = 100\n
U1 = 0\n
\n
\n
Uinit = 0\n
\n
\n
CFL = k * dt / dx**2\n
print(f"CFL: {CFL:0.3f} &lt; 0.5")\n
assert CFL &lt; 0.5\n
\n
u = np.ones(shape=(t_steps, n)) * Uinit\n
\n
\n
D = np.zeros(shape=(n, n))\n
for i in range(1, n-1):\n
    D[i, i-1] = 1\n
    D[i, i] = -2\n
    D[i, i+1] = 1\n
\n
\n
dudt = np.zeros(shape=(n))\n
\n
for t in range(0, t_steps-1):\n
    u[t, 0] = U0\n
    u[t, n-1] = U1\n
    dudt = k * np.matmul(D, -u[t])/dx**2\n
    u[t+1] = u[t] + dudt * dt\n</t>
  </si>
  <si>
    <t>Why Invalid: Extreme Spikes in temperature between very short intervals that perist over time</t>
  </si>
  <si>
    <t>Sign flip: 'dudt = k * np.matmul(D, u[t])/dx**2' becomes 'dudt = k * np.matmul(D, -u[t])/dx**2' near line 435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</si>
</sst>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1F1F1F"/>
      <name val="&quot;Google Sans Flex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 shrinkToFit="0" wrapText="1"/>
    </xf>
    <xf borderId="0" fillId="2" fontId="4" numFmtId="0" xfId="0" applyAlignment="1" applyFont="1">
      <alignment horizontal="right" readingOrder="0" shrinkToFit="0" wrapText="0"/>
    </xf>
    <xf borderId="0" fillId="0" fontId="5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4" max="4" width="17.38"/>
    <col customWidth="1" min="5" max="5" width="24.75"/>
    <col customWidth="1" min="6" max="6" width="29.63"/>
    <col customWidth="1" min="8" max="8" width="18.0"/>
    <col customWidth="1" min="9" max="9" width="45.0"/>
  </cols>
  <sheetData>
    <row r="1" ht="17.25" customHeight="1">
      <c r="A1" s="1" t="s">
        <v>0</v>
      </c>
      <c r="B1" s="3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ht="15.75" customHeight="1">
      <c r="A2" s="4" t="s">
        <v>11</v>
      </c>
      <c r="B2" s="4" t="s">
        <v>12</v>
      </c>
      <c r="C2" s="4">
        <v>93.0</v>
      </c>
      <c r="D2" s="4">
        <v>7718.0</v>
      </c>
      <c r="E2" s="9" t="str">
        <f t="shared" ref="E2:E4" si="1">CONCATENATE(LEFT(A2,FIND("_",A2) - 1)," Equation")</f>
        <v>Wave Equation</v>
      </c>
      <c r="F2" s="4" t="s">
        <v>21</v>
      </c>
      <c r="G2" s="4" t="s">
        <v>23</v>
      </c>
      <c r="H2" s="4" t="s">
        <v>18</v>
      </c>
      <c r="I2" s="4" t="s">
        <v>19</v>
      </c>
    </row>
    <row r="3" ht="15.75" customHeight="1">
      <c r="A3" s="4" t="s">
        <v>24</v>
      </c>
      <c r="B3" s="4" t="s">
        <v>27</v>
      </c>
      <c r="C3" s="4">
        <v>77.0</v>
      </c>
      <c r="D3" s="4">
        <v>3178.0</v>
      </c>
      <c r="E3" s="9" t="str">
        <f t="shared" si="1"/>
        <v>Wave Equation</v>
      </c>
      <c r="F3" s="4" t="s">
        <v>21</v>
      </c>
      <c r="G3" s="4" t="s">
        <v>23</v>
      </c>
      <c r="H3" s="4" t="s">
        <v>18</v>
      </c>
      <c r="I3" s="4" t="s">
        <v>19</v>
      </c>
    </row>
    <row r="4" ht="15.75" customHeight="1">
      <c r="A4" s="4" t="s">
        <v>30</v>
      </c>
      <c r="B4" s="4" t="s">
        <v>32</v>
      </c>
      <c r="C4" s="4">
        <v>45.0</v>
      </c>
      <c r="D4" s="4">
        <v>939.0</v>
      </c>
      <c r="E4" s="9" t="str">
        <f t="shared" si="1"/>
        <v>Wave Equation</v>
      </c>
      <c r="F4" s="4" t="s">
        <v>21</v>
      </c>
      <c r="G4" s="4" t="s">
        <v>23</v>
      </c>
      <c r="H4" s="4" t="s">
        <v>35</v>
      </c>
      <c r="I4" s="4" t="s">
        <v>19</v>
      </c>
    </row>
    <row r="5" ht="15.75" customHeight="1">
      <c r="A5" s="4" t="s">
        <v>38</v>
      </c>
      <c r="B5" s="4" t="s">
        <v>39</v>
      </c>
      <c r="C5" s="4">
        <v>43.0</v>
      </c>
      <c r="D5" s="4">
        <v>1037.0</v>
      </c>
      <c r="E5" s="4" t="s">
        <v>41</v>
      </c>
      <c r="F5" s="4" t="s">
        <v>21</v>
      </c>
      <c r="G5" s="4" t="s">
        <v>23</v>
      </c>
      <c r="H5" s="4" t="s">
        <v>43</v>
      </c>
      <c r="I5" s="4" t="s">
        <v>19</v>
      </c>
    </row>
    <row r="6" ht="15.75" customHeight="1">
      <c r="A6" s="4" t="s">
        <v>45</v>
      </c>
      <c r="B6" s="4" t="s">
        <v>47</v>
      </c>
      <c r="C6" s="4">
        <v>36.0</v>
      </c>
      <c r="D6" s="4">
        <v>845.0</v>
      </c>
      <c r="E6" s="4" t="str">
        <f t="shared" ref="E6:E12" si="2">CONCATENATE(LEFT(A6,FIND("_",A6) - 1)," Equation")</f>
        <v>Heat Equation</v>
      </c>
      <c r="F6" s="4" t="s">
        <v>51</v>
      </c>
      <c r="G6" s="4" t="s">
        <v>23</v>
      </c>
      <c r="H6" s="4" t="s">
        <v>18</v>
      </c>
      <c r="I6" s="4" t="s">
        <v>19</v>
      </c>
    </row>
    <row r="7" ht="15.75" customHeight="1">
      <c r="A7" s="4" t="s">
        <v>53</v>
      </c>
      <c r="B7" s="4" t="s">
        <v>54</v>
      </c>
      <c r="C7" s="4">
        <v>42.0</v>
      </c>
      <c r="D7" s="4">
        <v>862.0</v>
      </c>
      <c r="E7" s="4" t="str">
        <f t="shared" si="2"/>
        <v>Heat Equation</v>
      </c>
      <c r="F7" s="4" t="s">
        <v>51</v>
      </c>
      <c r="G7" s="4" t="s">
        <v>23</v>
      </c>
      <c r="H7" s="4" t="s">
        <v>35</v>
      </c>
      <c r="I7" s="4" t="s">
        <v>19</v>
      </c>
    </row>
    <row r="8" ht="15.75" customHeight="1">
      <c r="A8" s="4" t="s">
        <v>79</v>
      </c>
      <c r="B8" s="4" t="s">
        <v>80</v>
      </c>
      <c r="C8" s="4">
        <v>38.0</v>
      </c>
      <c r="D8" s="4">
        <v>770.0</v>
      </c>
      <c r="E8" s="4" t="str">
        <f t="shared" si="2"/>
        <v>Heat Equation</v>
      </c>
      <c r="F8" s="4" t="s">
        <v>51</v>
      </c>
      <c r="G8" s="4" t="s">
        <v>23</v>
      </c>
      <c r="H8" s="4" t="s">
        <v>35</v>
      </c>
      <c r="I8" s="4" t="s">
        <v>19</v>
      </c>
    </row>
    <row r="9" ht="15.75" customHeight="1">
      <c r="A9" s="4" t="s">
        <v>81</v>
      </c>
      <c r="B9" s="4" t="s">
        <v>82</v>
      </c>
      <c r="C9" s="4">
        <v>43.0</v>
      </c>
      <c r="D9" s="4">
        <v>870.0</v>
      </c>
      <c r="E9" s="9" t="str">
        <f t="shared" si="2"/>
        <v>Heat Equation</v>
      </c>
      <c r="F9" s="4" t="s">
        <v>51</v>
      </c>
      <c r="G9" s="4" t="s">
        <v>23</v>
      </c>
      <c r="H9" s="4" t="s">
        <v>35</v>
      </c>
      <c r="I9" s="4" t="s">
        <v>19</v>
      </c>
    </row>
    <row r="10" ht="15.75" customHeight="1">
      <c r="A10" s="4" t="s">
        <v>83</v>
      </c>
      <c r="B10" s="4" t="s">
        <v>84</v>
      </c>
      <c r="C10" s="4">
        <v>93.0</v>
      </c>
      <c r="D10" s="4">
        <v>7384.0</v>
      </c>
      <c r="E10" s="9" t="str">
        <f t="shared" si="2"/>
        <v>Wave Equation</v>
      </c>
      <c r="F10" s="4" t="s">
        <v>21</v>
      </c>
      <c r="G10" s="4" t="s">
        <v>23</v>
      </c>
      <c r="H10" s="4" t="s">
        <v>18</v>
      </c>
      <c r="I10" s="4" t="s">
        <v>19</v>
      </c>
    </row>
    <row r="11" ht="15.75" customHeight="1">
      <c r="A11" s="4" t="s">
        <v>85</v>
      </c>
      <c r="B11" s="4" t="s">
        <v>86</v>
      </c>
      <c r="C11" s="4">
        <v>77.0</v>
      </c>
      <c r="D11" s="4">
        <v>2869.0</v>
      </c>
      <c r="E11" s="9" t="str">
        <f t="shared" si="2"/>
        <v>Wave Equation</v>
      </c>
      <c r="F11" s="4" t="s">
        <v>21</v>
      </c>
      <c r="G11" s="4" t="s">
        <v>23</v>
      </c>
      <c r="H11" s="4" t="s">
        <v>18</v>
      </c>
      <c r="I11" s="4" t="s">
        <v>19</v>
      </c>
    </row>
    <row r="12" ht="15.75" customHeight="1">
      <c r="A12" s="4" t="s">
        <v>87</v>
      </c>
      <c r="B12" s="4" t="s">
        <v>88</v>
      </c>
      <c r="C12" s="4">
        <v>50.0</v>
      </c>
      <c r="D12" s="4">
        <v>944.0</v>
      </c>
      <c r="E12" s="9" t="str">
        <f t="shared" si="2"/>
        <v>Wave Equation</v>
      </c>
      <c r="F12" s="4" t="s">
        <v>21</v>
      </c>
      <c r="G12" s="4" t="s">
        <v>23</v>
      </c>
      <c r="H12" s="4" t="s">
        <v>35</v>
      </c>
      <c r="I12" s="4" t="s">
        <v>19</v>
      </c>
    </row>
    <row r="13" ht="15.75" customHeight="1">
      <c r="A13" s="4" t="s">
        <v>89</v>
      </c>
      <c r="B13" s="4" t="s">
        <v>90</v>
      </c>
      <c r="C13" s="4">
        <v>44.0</v>
      </c>
      <c r="D13" s="4">
        <v>822.0</v>
      </c>
      <c r="E13" s="4" t="s">
        <v>41</v>
      </c>
      <c r="F13" s="4" t="s">
        <v>21</v>
      </c>
      <c r="G13" s="4" t="s">
        <v>23</v>
      </c>
      <c r="H13" s="4" t="s">
        <v>43</v>
      </c>
      <c r="I13" s="4" t="s">
        <v>19</v>
      </c>
    </row>
    <row r="14" ht="15.75" customHeight="1">
      <c r="A14" s="4" t="s">
        <v>91</v>
      </c>
      <c r="B14" s="4" t="s">
        <v>92</v>
      </c>
      <c r="C14" s="4">
        <v>36.0</v>
      </c>
      <c r="D14" s="4">
        <v>470.0</v>
      </c>
      <c r="E14" s="9" t="str">
        <f t="shared" ref="E14:E20" si="3">CONCATENATE(LEFT(A14,FIND("_",A14) - 1)," Equation")</f>
        <v>Heat Equation</v>
      </c>
      <c r="F14" s="4" t="s">
        <v>51</v>
      </c>
      <c r="G14" s="4" t="s">
        <v>23</v>
      </c>
      <c r="H14" s="4" t="s">
        <v>18</v>
      </c>
      <c r="I14" s="4" t="s">
        <v>19</v>
      </c>
    </row>
    <row r="15" ht="15.75" customHeight="1">
      <c r="A15" s="4" t="s">
        <v>93</v>
      </c>
      <c r="B15" s="4" t="s">
        <v>94</v>
      </c>
      <c r="C15" s="4">
        <v>42.0</v>
      </c>
      <c r="D15" s="4">
        <v>649.0</v>
      </c>
      <c r="E15" s="9" t="str">
        <f t="shared" si="3"/>
        <v>Heat Equation</v>
      </c>
      <c r="F15" s="4" t="s">
        <v>51</v>
      </c>
      <c r="G15" s="4" t="s">
        <v>23</v>
      </c>
      <c r="H15" s="4" t="s">
        <v>35</v>
      </c>
      <c r="I15" s="4" t="s">
        <v>19</v>
      </c>
    </row>
    <row r="16" ht="15.0" customHeight="1">
      <c r="A16" s="4" t="s">
        <v>95</v>
      </c>
      <c r="B16" s="4" t="s">
        <v>96</v>
      </c>
      <c r="C16" s="4">
        <v>38.0</v>
      </c>
      <c r="D16" s="4">
        <v>565.0</v>
      </c>
      <c r="E16" s="9" t="str">
        <f t="shared" si="3"/>
        <v>Heat Equation</v>
      </c>
      <c r="F16" s="4" t="s">
        <v>51</v>
      </c>
      <c r="G16" s="4" t="s">
        <v>23</v>
      </c>
      <c r="H16" s="4" t="s">
        <v>35</v>
      </c>
      <c r="I16" s="4" t="s">
        <v>19</v>
      </c>
    </row>
    <row r="17" ht="15.75" customHeight="1">
      <c r="A17" s="4" t="s">
        <v>97</v>
      </c>
      <c r="B17" s="4" t="s">
        <v>98</v>
      </c>
      <c r="C17" s="4">
        <v>43.0</v>
      </c>
      <c r="D17" s="4">
        <v>518.0</v>
      </c>
      <c r="E17" s="9" t="str">
        <f t="shared" si="3"/>
        <v>Heat Equation</v>
      </c>
      <c r="F17" s="4" t="s">
        <v>51</v>
      </c>
      <c r="G17" s="4" t="s">
        <v>23</v>
      </c>
      <c r="H17" s="4" t="s">
        <v>35</v>
      </c>
      <c r="I17" s="4" t="s">
        <v>19</v>
      </c>
    </row>
    <row r="18" ht="15.75" customHeight="1">
      <c r="A18" s="4" t="s">
        <v>99</v>
      </c>
      <c r="B18" s="4" t="s">
        <v>100</v>
      </c>
      <c r="C18" s="4">
        <v>93.0</v>
      </c>
      <c r="D18" s="4">
        <v>7431.0</v>
      </c>
      <c r="E18" s="9" t="str">
        <f t="shared" si="3"/>
        <v>Wave Equation</v>
      </c>
      <c r="F18" s="4" t="s">
        <v>21</v>
      </c>
      <c r="G18" s="4" t="s">
        <v>101</v>
      </c>
      <c r="H18" s="4" t="s">
        <v>18</v>
      </c>
      <c r="I18" s="4" t="s">
        <v>102</v>
      </c>
      <c r="J18" s="4" t="s">
        <v>103</v>
      </c>
    </row>
    <row r="19" ht="15.75" customHeight="1">
      <c r="A19" s="4" t="s">
        <v>104</v>
      </c>
      <c r="B19" s="4" t="s">
        <v>105</v>
      </c>
      <c r="C19" s="4">
        <v>77.0</v>
      </c>
      <c r="D19" s="4">
        <v>2880.0</v>
      </c>
      <c r="E19" s="9" t="str">
        <f t="shared" si="3"/>
        <v>Wave Equation</v>
      </c>
      <c r="F19" s="4" t="s">
        <v>21</v>
      </c>
      <c r="G19" s="4" t="s">
        <v>101</v>
      </c>
      <c r="H19" s="4" t="s">
        <v>18</v>
      </c>
      <c r="I19" s="4" t="s">
        <v>106</v>
      </c>
      <c r="J19" s="4" t="s">
        <v>107</v>
      </c>
    </row>
    <row r="20" ht="15.75" customHeight="1">
      <c r="A20" s="4" t="s">
        <v>108</v>
      </c>
      <c r="B20" s="4" t="s">
        <v>109</v>
      </c>
      <c r="C20" s="4">
        <v>45.0</v>
      </c>
      <c r="D20" s="4">
        <v>969.0</v>
      </c>
      <c r="E20" s="9" t="str">
        <f t="shared" si="3"/>
        <v>Wave Equation</v>
      </c>
      <c r="F20" s="4" t="s">
        <v>21</v>
      </c>
      <c r="G20" s="4" t="s">
        <v>101</v>
      </c>
      <c r="H20" s="4" t="s">
        <v>35</v>
      </c>
      <c r="I20" s="4" t="s">
        <v>110</v>
      </c>
      <c r="J20" s="4" t="s">
        <v>111</v>
      </c>
    </row>
    <row r="21" ht="15.75" customHeight="1">
      <c r="A21" s="4" t="s">
        <v>112</v>
      </c>
      <c r="B21" s="4" t="s">
        <v>113</v>
      </c>
      <c r="C21" s="4">
        <v>44.0</v>
      </c>
      <c r="D21" s="4">
        <v>794.0</v>
      </c>
      <c r="E21" s="4" t="s">
        <v>41</v>
      </c>
      <c r="F21" s="4" t="s">
        <v>21</v>
      </c>
      <c r="G21" s="4" t="s">
        <v>101</v>
      </c>
      <c r="H21" s="4" t="s">
        <v>43</v>
      </c>
      <c r="I21" s="4" t="s">
        <v>114</v>
      </c>
      <c r="J21" s="4" t="s">
        <v>115</v>
      </c>
    </row>
    <row r="22" ht="15.75" customHeight="1">
      <c r="A22" s="4" t="s">
        <v>116</v>
      </c>
      <c r="B22" s="4" t="s">
        <v>117</v>
      </c>
      <c r="C22" s="4">
        <v>36.0</v>
      </c>
      <c r="D22" s="4">
        <v>533.0</v>
      </c>
      <c r="E22" s="4" t="s">
        <v>118</v>
      </c>
      <c r="F22" s="4" t="s">
        <v>51</v>
      </c>
      <c r="G22" s="4" t="s">
        <v>101</v>
      </c>
      <c r="H22" s="4" t="s">
        <v>18</v>
      </c>
      <c r="I22" s="4" t="s">
        <v>119</v>
      </c>
      <c r="J22" s="4" t="s">
        <v>120</v>
      </c>
    </row>
    <row r="23" ht="15.75" customHeight="1">
      <c r="A23" s="4" t="s">
        <v>121</v>
      </c>
      <c r="B23" s="4" t="s">
        <v>122</v>
      </c>
      <c r="C23" s="4">
        <v>42.0</v>
      </c>
      <c r="D23" s="4">
        <v>740.0</v>
      </c>
      <c r="E23" s="9" t="str">
        <f t="shared" ref="E23:E25" si="4">CONCATENATE(LEFT(A23,FIND("_",A23) - 1)," Equation")</f>
        <v>Heat Equation</v>
      </c>
      <c r="F23" s="4" t="s">
        <v>51</v>
      </c>
      <c r="G23" s="4" t="s">
        <v>101</v>
      </c>
      <c r="H23" s="4" t="s">
        <v>35</v>
      </c>
      <c r="I23" s="4" t="s">
        <v>123</v>
      </c>
      <c r="J23" s="4" t="s">
        <v>124</v>
      </c>
    </row>
    <row r="24" ht="15.75" customHeight="1">
      <c r="A24" s="4" t="s">
        <v>125</v>
      </c>
      <c r="B24" s="4" t="s">
        <v>126</v>
      </c>
      <c r="C24" s="4">
        <v>38.0</v>
      </c>
      <c r="D24" s="4">
        <v>633.0</v>
      </c>
      <c r="E24" s="9" t="str">
        <f t="shared" si="4"/>
        <v>Heat Equation</v>
      </c>
      <c r="F24" s="4" t="s">
        <v>51</v>
      </c>
      <c r="G24" s="4" t="s">
        <v>101</v>
      </c>
      <c r="H24" s="4" t="s">
        <v>35</v>
      </c>
      <c r="I24" s="4" t="s">
        <v>127</v>
      </c>
      <c r="J24" s="4" t="s">
        <v>128</v>
      </c>
    </row>
    <row r="25" ht="15.75" customHeight="1">
      <c r="A25" s="4" t="s">
        <v>129</v>
      </c>
      <c r="B25" s="4" t="s">
        <v>130</v>
      </c>
      <c r="C25" s="4">
        <v>43.0</v>
      </c>
      <c r="D25" s="4">
        <v>593.0</v>
      </c>
      <c r="E25" s="9" t="str">
        <f t="shared" si="4"/>
        <v>Heat Equation</v>
      </c>
      <c r="F25" s="4" t="s">
        <v>51</v>
      </c>
      <c r="G25" s="4" t="s">
        <v>101</v>
      </c>
      <c r="H25" s="4" t="s">
        <v>35</v>
      </c>
      <c r="I25" s="4" t="s">
        <v>131</v>
      </c>
      <c r="J25" s="4" t="s">
        <v>132</v>
      </c>
    </row>
    <row r="26" ht="15.75" customHeight="1">
      <c r="A26" s="4" t="s">
        <v>13</v>
      </c>
      <c r="B26" s="6" t="s">
        <v>14</v>
      </c>
      <c r="D26" s="7">
        <v>2059.0</v>
      </c>
      <c r="E26" s="4" t="s">
        <v>15</v>
      </c>
      <c r="F26" s="4" t="s">
        <v>16</v>
      </c>
      <c r="G26" s="8" t="s">
        <v>17</v>
      </c>
      <c r="H26" s="4" t="s">
        <v>18</v>
      </c>
      <c r="I26" s="4" t="s">
        <v>19</v>
      </c>
    </row>
    <row r="27" ht="15.75" customHeight="1">
      <c r="A27" s="4" t="s">
        <v>20</v>
      </c>
      <c r="B27" s="6" t="s">
        <v>22</v>
      </c>
      <c r="D27" s="4">
        <v>1784.0</v>
      </c>
      <c r="E27" s="4" t="s">
        <v>15</v>
      </c>
      <c r="F27" s="4" t="s">
        <v>16</v>
      </c>
      <c r="G27" s="8" t="s">
        <v>17</v>
      </c>
      <c r="H27" s="4" t="s">
        <v>18</v>
      </c>
      <c r="I27" s="4" t="s">
        <v>19</v>
      </c>
    </row>
    <row r="28" ht="15.75" customHeight="1">
      <c r="A28" s="4" t="s">
        <v>25</v>
      </c>
      <c r="B28" s="6" t="s">
        <v>26</v>
      </c>
      <c r="D28" s="4">
        <v>1320.0</v>
      </c>
      <c r="E28" s="4" t="s">
        <v>15</v>
      </c>
      <c r="F28" s="4" t="s">
        <v>16</v>
      </c>
      <c r="G28" s="8" t="s">
        <v>17</v>
      </c>
      <c r="H28" s="4" t="s">
        <v>18</v>
      </c>
      <c r="I28" s="4" t="s">
        <v>19</v>
      </c>
    </row>
    <row r="29" ht="15.75" customHeight="1">
      <c r="A29" s="4" t="s">
        <v>28</v>
      </c>
      <c r="B29" s="6" t="s">
        <v>29</v>
      </c>
      <c r="D29" s="4">
        <v>1303.0</v>
      </c>
      <c r="E29" s="4" t="s">
        <v>15</v>
      </c>
      <c r="F29" s="4" t="s">
        <v>16</v>
      </c>
      <c r="G29" s="8" t="s">
        <v>17</v>
      </c>
      <c r="H29" s="4" t="s">
        <v>18</v>
      </c>
      <c r="I29" s="4" t="s">
        <v>19</v>
      </c>
    </row>
    <row r="30" ht="15.75" customHeight="1">
      <c r="A30" s="4" t="s">
        <v>31</v>
      </c>
      <c r="B30" s="6" t="s">
        <v>33</v>
      </c>
      <c r="D30" s="4">
        <v>2059.0</v>
      </c>
      <c r="E30" s="4" t="s">
        <v>15</v>
      </c>
      <c r="F30" s="4" t="s">
        <v>16</v>
      </c>
      <c r="G30" s="8" t="s">
        <v>34</v>
      </c>
      <c r="H30" s="4" t="s">
        <v>18</v>
      </c>
      <c r="I30" s="4" t="s">
        <v>36</v>
      </c>
    </row>
    <row r="31" ht="15.75" customHeight="1">
      <c r="A31" s="4" t="s">
        <v>37</v>
      </c>
      <c r="B31" s="6" t="s">
        <v>40</v>
      </c>
      <c r="D31" s="4">
        <v>1784.0</v>
      </c>
      <c r="E31" s="4" t="s">
        <v>15</v>
      </c>
      <c r="F31" s="4" t="s">
        <v>16</v>
      </c>
      <c r="G31" s="8" t="s">
        <v>34</v>
      </c>
      <c r="H31" s="4" t="s">
        <v>18</v>
      </c>
      <c r="I31" s="4" t="s">
        <v>42</v>
      </c>
    </row>
    <row r="32" ht="15.75" customHeight="1">
      <c r="A32" s="4" t="s">
        <v>44</v>
      </c>
      <c r="B32" s="6" t="s">
        <v>46</v>
      </c>
      <c r="D32" s="4">
        <v>1320.0</v>
      </c>
      <c r="E32" s="4" t="s">
        <v>15</v>
      </c>
      <c r="F32" s="4" t="s">
        <v>16</v>
      </c>
      <c r="G32" s="8" t="s">
        <v>34</v>
      </c>
      <c r="H32" s="4" t="s">
        <v>18</v>
      </c>
      <c r="I32" s="4" t="s">
        <v>36</v>
      </c>
    </row>
    <row r="33" ht="15.75" customHeight="1">
      <c r="A33" s="4" t="s">
        <v>48</v>
      </c>
      <c r="B33" s="6" t="s">
        <v>49</v>
      </c>
      <c r="D33" s="4">
        <v>1303.0</v>
      </c>
      <c r="E33" s="4" t="s">
        <v>15</v>
      </c>
      <c r="F33" s="4" t="s">
        <v>16</v>
      </c>
      <c r="G33" s="8" t="s">
        <v>34</v>
      </c>
      <c r="H33" s="4" t="s">
        <v>18</v>
      </c>
      <c r="I33" s="4" t="s">
        <v>50</v>
      </c>
    </row>
    <row r="34" ht="15.75" customHeight="1">
      <c r="A34" s="4" t="s">
        <v>52</v>
      </c>
      <c r="B34" s="6" t="s">
        <v>55</v>
      </c>
      <c r="D34" s="4">
        <v>3486.0</v>
      </c>
      <c r="E34" s="4" t="s">
        <v>56</v>
      </c>
      <c r="F34" s="4" t="s">
        <v>57</v>
      </c>
      <c r="G34" s="8" t="s">
        <v>17</v>
      </c>
      <c r="H34" s="4" t="s">
        <v>58</v>
      </c>
      <c r="I34" s="4" t="s">
        <v>19</v>
      </c>
    </row>
    <row r="35" ht="15.75" customHeight="1">
      <c r="A35" s="4" t="s">
        <v>59</v>
      </c>
      <c r="B35" s="6" t="s">
        <v>60</v>
      </c>
      <c r="D35" s="4">
        <v>6350.0</v>
      </c>
      <c r="E35" s="4" t="s">
        <v>56</v>
      </c>
      <c r="F35" s="4" t="s">
        <v>57</v>
      </c>
      <c r="G35" s="8" t="s">
        <v>17</v>
      </c>
      <c r="H35" s="4" t="s">
        <v>58</v>
      </c>
      <c r="I35" s="4" t="s">
        <v>19</v>
      </c>
    </row>
    <row r="36" ht="15.75" customHeight="1">
      <c r="A36" s="4" t="s">
        <v>61</v>
      </c>
      <c r="B36" s="6" t="s">
        <v>62</v>
      </c>
      <c r="D36" s="4">
        <v>3425.0</v>
      </c>
      <c r="E36" s="4" t="s">
        <v>56</v>
      </c>
      <c r="F36" s="4" t="s">
        <v>57</v>
      </c>
      <c r="G36" s="8" t="s">
        <v>17</v>
      </c>
      <c r="H36" s="4" t="s">
        <v>63</v>
      </c>
      <c r="I36" s="4" t="s">
        <v>19</v>
      </c>
    </row>
    <row r="37" ht="15.75" customHeight="1">
      <c r="A37" s="4" t="s">
        <v>64</v>
      </c>
      <c r="B37" s="6" t="s">
        <v>65</v>
      </c>
      <c r="D37" s="4">
        <v>5973.0</v>
      </c>
      <c r="E37" s="4" t="s">
        <v>56</v>
      </c>
      <c r="F37" s="4" t="s">
        <v>57</v>
      </c>
      <c r="G37" s="8" t="s">
        <v>17</v>
      </c>
      <c r="H37" s="4" t="s">
        <v>66</v>
      </c>
      <c r="I37" s="4" t="s">
        <v>19</v>
      </c>
    </row>
    <row r="38" ht="15.75" customHeight="1">
      <c r="A38" s="4" t="s">
        <v>67</v>
      </c>
      <c r="B38" s="6" t="s">
        <v>68</v>
      </c>
      <c r="D38" s="4">
        <v>3486.0</v>
      </c>
      <c r="E38" s="4" t="s">
        <v>56</v>
      </c>
      <c r="F38" s="4" t="s">
        <v>57</v>
      </c>
      <c r="G38" s="8" t="s">
        <v>34</v>
      </c>
      <c r="H38" s="4" t="s">
        <v>58</v>
      </c>
      <c r="I38" s="4" t="s">
        <v>69</v>
      </c>
    </row>
    <row r="39" ht="13.5" customHeight="1">
      <c r="A39" s="4" t="s">
        <v>70</v>
      </c>
      <c r="B39" s="6" t="s">
        <v>71</v>
      </c>
      <c r="D39" s="4">
        <v>6350.0</v>
      </c>
      <c r="E39" s="4" t="s">
        <v>56</v>
      </c>
      <c r="F39" s="4" t="s">
        <v>57</v>
      </c>
      <c r="G39" s="8" t="s">
        <v>34</v>
      </c>
      <c r="H39" s="4" t="s">
        <v>58</v>
      </c>
      <c r="I39" s="4" t="s">
        <v>72</v>
      </c>
    </row>
    <row r="40" ht="16.5" customHeight="1">
      <c r="A40" s="4" t="s">
        <v>73</v>
      </c>
      <c r="B40" s="6" t="s">
        <v>74</v>
      </c>
      <c r="D40" s="4">
        <v>3425.0</v>
      </c>
      <c r="E40" s="4" t="s">
        <v>56</v>
      </c>
      <c r="F40" s="4" t="s">
        <v>57</v>
      </c>
      <c r="G40" s="8" t="s">
        <v>34</v>
      </c>
      <c r="H40" s="4" t="s">
        <v>63</v>
      </c>
      <c r="I40" s="4" t="s">
        <v>75</v>
      </c>
    </row>
    <row r="41" ht="13.5" customHeight="1">
      <c r="A41" s="4" t="s">
        <v>76</v>
      </c>
      <c r="B41" s="6" t="s">
        <v>77</v>
      </c>
      <c r="D41" s="4">
        <v>5973.0</v>
      </c>
      <c r="E41" s="4" t="s">
        <v>56</v>
      </c>
      <c r="F41" s="4" t="s">
        <v>57</v>
      </c>
      <c r="G41" s="8" t="s">
        <v>34</v>
      </c>
      <c r="H41" s="4" t="s">
        <v>66</v>
      </c>
      <c r="I41" s="4" t="s">
        <v>78</v>
      </c>
    </row>
    <row r="43" ht="14.25" customHeight="1"/>
    <row r="44" ht="13.5" customHeight="1"/>
    <row r="45" ht="14.25" customHeight="1"/>
    <row r="46" ht="15.0" customHeight="1"/>
    <row r="48" ht="13.5" customHeight="1"/>
    <row r="49" ht="16.5" customHeight="1"/>
    <row r="50" ht="13.5" customHeight="1"/>
    <row r="51" ht="12.0" customHeight="1"/>
    <row r="54" ht="15.0" customHeight="1"/>
    <row r="57" ht="15.75" customHeight="1"/>
    <row r="59">
      <c r="A59" s="4"/>
    </row>
    <row r="60">
      <c r="A6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4" max="4" width="20.5"/>
    <col customWidth="1" min="5" max="5" width="17.88"/>
    <col customWidth="1" min="6" max="6" width="15.63"/>
    <col customWidth="1" min="7" max="7" width="18.63"/>
    <col customWidth="1" min="8" max="8" width="17.0"/>
  </cols>
  <sheetData>
    <row r="1">
      <c r="A1" s="2" t="s">
        <v>1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4" t="s">
        <v>13</v>
      </c>
      <c r="B2" s="6" t="s">
        <v>14</v>
      </c>
      <c r="C2" s="7">
        <v>2059.0</v>
      </c>
      <c r="D2" s="4" t="s">
        <v>15</v>
      </c>
      <c r="E2" s="4" t="s">
        <v>16</v>
      </c>
      <c r="F2" s="8" t="s">
        <v>17</v>
      </c>
      <c r="G2" s="4" t="s">
        <v>18</v>
      </c>
      <c r="H2" s="4" t="s">
        <v>19</v>
      </c>
    </row>
    <row r="3" ht="17.25" customHeight="1">
      <c r="A3" s="4" t="s">
        <v>20</v>
      </c>
      <c r="B3" s="6" t="s">
        <v>22</v>
      </c>
      <c r="C3" s="4">
        <v>1784.0</v>
      </c>
      <c r="D3" s="4" t="s">
        <v>15</v>
      </c>
      <c r="E3" s="4" t="s">
        <v>16</v>
      </c>
      <c r="F3" s="8" t="s">
        <v>17</v>
      </c>
      <c r="G3" s="4" t="s">
        <v>18</v>
      </c>
      <c r="H3" s="4" t="s">
        <v>19</v>
      </c>
    </row>
    <row r="4" ht="15.75" customHeight="1">
      <c r="A4" s="4" t="s">
        <v>25</v>
      </c>
      <c r="B4" s="6" t="s">
        <v>26</v>
      </c>
      <c r="C4" s="4">
        <v>1320.0</v>
      </c>
      <c r="D4" s="4" t="s">
        <v>15</v>
      </c>
      <c r="E4" s="4" t="s">
        <v>16</v>
      </c>
      <c r="F4" s="8" t="s">
        <v>17</v>
      </c>
      <c r="G4" s="4" t="s">
        <v>18</v>
      </c>
      <c r="H4" s="4" t="s">
        <v>19</v>
      </c>
    </row>
    <row r="5" ht="15.0" customHeight="1">
      <c r="A5" s="4" t="s">
        <v>28</v>
      </c>
      <c r="B5" s="6" t="s">
        <v>29</v>
      </c>
      <c r="C5" s="4">
        <v>1303.0</v>
      </c>
      <c r="D5" s="4" t="s">
        <v>15</v>
      </c>
      <c r="E5" s="4" t="s">
        <v>16</v>
      </c>
      <c r="F5" s="8" t="s">
        <v>17</v>
      </c>
      <c r="G5" s="4" t="s">
        <v>18</v>
      </c>
      <c r="H5" s="4" t="s">
        <v>19</v>
      </c>
    </row>
    <row r="6" ht="14.25" customHeight="1">
      <c r="A6" s="4"/>
      <c r="B6" s="6"/>
      <c r="C6" s="4"/>
      <c r="D6" s="4"/>
      <c r="E6" s="4"/>
      <c r="F6" s="8"/>
      <c r="G6" s="4"/>
    </row>
    <row r="7" ht="14.25" customHeight="1">
      <c r="A7" s="4" t="s">
        <v>31</v>
      </c>
      <c r="B7" s="6" t="s">
        <v>33</v>
      </c>
      <c r="C7" s="4">
        <v>2059.0</v>
      </c>
      <c r="D7" s="4" t="s">
        <v>15</v>
      </c>
      <c r="E7" s="4" t="s">
        <v>16</v>
      </c>
      <c r="F7" s="8" t="s">
        <v>34</v>
      </c>
      <c r="G7" s="4" t="s">
        <v>18</v>
      </c>
      <c r="H7" s="4" t="s">
        <v>36</v>
      </c>
    </row>
    <row r="8" ht="16.5" customHeight="1">
      <c r="A8" s="4" t="s">
        <v>37</v>
      </c>
      <c r="B8" s="6" t="s">
        <v>40</v>
      </c>
      <c r="C8" s="4">
        <v>1784.0</v>
      </c>
      <c r="D8" s="4" t="s">
        <v>15</v>
      </c>
      <c r="E8" s="4" t="s">
        <v>16</v>
      </c>
      <c r="F8" s="8" t="s">
        <v>34</v>
      </c>
      <c r="G8" s="4" t="s">
        <v>18</v>
      </c>
      <c r="H8" s="4" t="s">
        <v>42</v>
      </c>
    </row>
    <row r="9" ht="13.5" customHeight="1">
      <c r="A9" s="4" t="s">
        <v>44</v>
      </c>
      <c r="B9" s="6" t="s">
        <v>46</v>
      </c>
      <c r="C9" s="4">
        <v>1320.0</v>
      </c>
      <c r="D9" s="4" t="s">
        <v>15</v>
      </c>
      <c r="E9" s="4" t="s">
        <v>16</v>
      </c>
      <c r="F9" s="8" t="s">
        <v>34</v>
      </c>
      <c r="G9" s="4" t="s">
        <v>18</v>
      </c>
      <c r="H9" s="4" t="s">
        <v>36</v>
      </c>
    </row>
    <row r="10" ht="15.75" customHeight="1">
      <c r="A10" s="4" t="s">
        <v>48</v>
      </c>
      <c r="B10" s="6" t="s">
        <v>49</v>
      </c>
      <c r="C10" s="4">
        <v>1303.0</v>
      </c>
      <c r="D10" s="4" t="s">
        <v>15</v>
      </c>
      <c r="E10" s="4" t="s">
        <v>16</v>
      </c>
      <c r="F10" s="8" t="s">
        <v>34</v>
      </c>
      <c r="G10" s="4" t="s">
        <v>18</v>
      </c>
      <c r="H10" s="4" t="s">
        <v>50</v>
      </c>
    </row>
    <row r="11" ht="14.25" customHeight="1">
      <c r="A11" s="4"/>
      <c r="B11" s="6"/>
      <c r="C11" s="4"/>
      <c r="D11" s="4"/>
      <c r="E11" s="4"/>
      <c r="F11" s="8"/>
      <c r="G11" s="4"/>
      <c r="H11" s="4"/>
    </row>
    <row r="12" ht="14.25" customHeight="1">
      <c r="A12" s="4" t="s">
        <v>52</v>
      </c>
      <c r="B12" s="6" t="s">
        <v>55</v>
      </c>
      <c r="C12" s="4">
        <v>3486.0</v>
      </c>
      <c r="D12" s="4" t="s">
        <v>56</v>
      </c>
      <c r="E12" s="4" t="s">
        <v>57</v>
      </c>
      <c r="F12" s="8" t="s">
        <v>17</v>
      </c>
      <c r="G12" s="4" t="s">
        <v>58</v>
      </c>
      <c r="H12" s="4" t="s">
        <v>19</v>
      </c>
    </row>
    <row r="13" ht="14.25" customHeight="1">
      <c r="A13" s="4" t="s">
        <v>59</v>
      </c>
      <c r="B13" s="6" t="s">
        <v>60</v>
      </c>
      <c r="C13" s="4">
        <v>6350.0</v>
      </c>
      <c r="D13" s="4" t="s">
        <v>56</v>
      </c>
      <c r="E13" s="4" t="s">
        <v>57</v>
      </c>
      <c r="F13" s="8" t="s">
        <v>17</v>
      </c>
      <c r="G13" s="4" t="s">
        <v>58</v>
      </c>
      <c r="H13" s="4" t="s">
        <v>19</v>
      </c>
    </row>
    <row r="14" ht="15.0" customHeight="1">
      <c r="A14" s="4" t="s">
        <v>61</v>
      </c>
      <c r="B14" s="6" t="s">
        <v>62</v>
      </c>
      <c r="C14" s="4">
        <v>3425.0</v>
      </c>
      <c r="D14" s="4" t="s">
        <v>56</v>
      </c>
      <c r="E14" s="4" t="s">
        <v>57</v>
      </c>
      <c r="F14" s="8" t="s">
        <v>17</v>
      </c>
      <c r="G14" s="4" t="s">
        <v>63</v>
      </c>
      <c r="H14" s="4" t="s">
        <v>19</v>
      </c>
    </row>
    <row r="15" ht="15.0" customHeight="1">
      <c r="A15" s="4" t="s">
        <v>64</v>
      </c>
      <c r="B15" s="6" t="s">
        <v>65</v>
      </c>
      <c r="C15" s="4">
        <v>5973.0</v>
      </c>
      <c r="D15" s="4" t="s">
        <v>56</v>
      </c>
      <c r="E15" s="4" t="s">
        <v>57</v>
      </c>
      <c r="F15" s="8" t="s">
        <v>17</v>
      </c>
      <c r="G15" s="4" t="s">
        <v>66</v>
      </c>
      <c r="H15" s="4" t="s">
        <v>19</v>
      </c>
    </row>
    <row r="16" ht="13.5" customHeight="1">
      <c r="A16" s="4"/>
      <c r="B16" s="6"/>
      <c r="C16" s="4"/>
      <c r="D16" s="4"/>
      <c r="E16" s="4"/>
      <c r="F16" s="8"/>
      <c r="G16" s="4"/>
    </row>
    <row r="17" ht="13.5" customHeight="1">
      <c r="A17" s="4" t="s">
        <v>67</v>
      </c>
      <c r="B17" s="6" t="s">
        <v>68</v>
      </c>
      <c r="C17" s="4">
        <v>3486.0</v>
      </c>
      <c r="D17" s="4" t="s">
        <v>56</v>
      </c>
      <c r="E17" s="4" t="s">
        <v>57</v>
      </c>
      <c r="F17" s="8" t="s">
        <v>34</v>
      </c>
      <c r="G17" s="4" t="s">
        <v>58</v>
      </c>
      <c r="H17" s="4" t="s">
        <v>69</v>
      </c>
    </row>
    <row r="18" ht="14.25" customHeight="1">
      <c r="A18" s="4" t="s">
        <v>70</v>
      </c>
      <c r="B18" s="6" t="s">
        <v>71</v>
      </c>
      <c r="C18" s="4">
        <v>6350.0</v>
      </c>
      <c r="D18" s="4" t="s">
        <v>56</v>
      </c>
      <c r="E18" s="4" t="s">
        <v>57</v>
      </c>
      <c r="F18" s="8" t="s">
        <v>34</v>
      </c>
      <c r="G18" s="4" t="s">
        <v>58</v>
      </c>
      <c r="H18" s="4" t="s">
        <v>72</v>
      </c>
    </row>
    <row r="19" ht="15.0" customHeight="1">
      <c r="A19" s="4" t="s">
        <v>73</v>
      </c>
      <c r="B19" s="6" t="s">
        <v>74</v>
      </c>
      <c r="C19" s="4">
        <v>3425.0</v>
      </c>
      <c r="D19" s="4" t="s">
        <v>56</v>
      </c>
      <c r="E19" s="4" t="s">
        <v>57</v>
      </c>
      <c r="F19" s="8" t="s">
        <v>34</v>
      </c>
      <c r="G19" s="4" t="s">
        <v>63</v>
      </c>
      <c r="H19" s="4" t="s">
        <v>75</v>
      </c>
    </row>
    <row r="20" ht="15.75" customHeight="1">
      <c r="A20" s="4" t="s">
        <v>76</v>
      </c>
      <c r="B20" s="6" t="s">
        <v>77</v>
      </c>
      <c r="C20" s="4">
        <v>5973.0</v>
      </c>
      <c r="D20" s="4" t="s">
        <v>56</v>
      </c>
      <c r="E20" s="4" t="s">
        <v>57</v>
      </c>
      <c r="F20" s="8" t="s">
        <v>34</v>
      </c>
      <c r="G20" s="4" t="s">
        <v>66</v>
      </c>
      <c r="H20" s="4" t="s">
        <v>78</v>
      </c>
    </row>
  </sheetData>
  <drawing r:id="rId1"/>
</worksheet>
</file>