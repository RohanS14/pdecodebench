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<sst xmlns="http://schemas.openxmlformats.org/spreadsheetml/2006/main" count="269" uniqueCount="128">
  <si>
    <t>title</t>
  </si>
  <si>
    <t>code</t>
  </si>
  <si>
    <t>num_lines</t>
  </si>
  <si>
    <t>num_char</t>
  </si>
  <si>
    <t>pde_class</t>
  </si>
  <si>
    <t>phys_process</t>
  </si>
  <si>
    <t>phys_valid</t>
  </si>
  <si>
    <t>num_method</t>
  </si>
  <si>
    <t>obf_vars</t>
  </si>
  <si>
    <t>obf_comments</t>
  </si>
  <si>
    <t>corruption_source_idx</t>
  </si>
  <si>
    <t>corruption_source_pde</t>
  </si>
  <si>
    <t>injected_comments</t>
  </si>
  <si>
    <t>Wave_Comm_Valid_1</t>
  </si>
  <si>
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</si>
  <si>
    <t>oscillation/restoration</t>
  </si>
  <si>
    <t>Yes</t>
  </si>
  <si>
    <t>explicit</t>
  </si>
  <si>
    <t>Wave_Comm_Valid_2</t>
  </si>
  <si>
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</si>
  <si>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Wave_Comm_Valid_3</t>
  </si>
  <si>
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</si>
  <si>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explicit/implicit</t>
  </si>
  <si>
    <t>Wave_Comm_Valid_4</t>
  </si>
  <si>
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</si>
  <si>
    <t>Wave Equation</t>
  </si>
  <si>
    <t>spectral</t>
  </si>
  <si>
    <t>Heat_Comm_Valid_1</t>
  </si>
  <si>
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</si>
  <si>
    <t>diffusion</t>
  </si>
  <si>
    <t>implicit</t>
  </si>
  <si>
    <t>Heat_Comm_Valid_2</t>
  </si>
  <si>
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</si>
  <si>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Heat_Comm_Valid_3</t>
  </si>
  <si>
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</si>
  <si>
    <t>Heat_Comm_Valid_4</t>
  </si>
  <si>
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</si>
  <si>
    <t>Burgers_Comm_Valid_1</t>
  </si>
  <si>
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</si>
  <si>
    <t>advection/diffusion</t>
  </si>
  <si>
    <t>Burgers_Comm_Valid_2</t>
  </si>
  <si>
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</si>
  <si>
    <t>Burgers_Comm_Valid_3</t>
  </si>
  <si>
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</si>
  <si>
    <t>Burgers_Comm_Valid_4</t>
  </si>
  <si>
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</si>
  <si>
    <t>Wave_NoComm_Valid_1</t>
  </si>
  <si>
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</si>
  <si>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Wave_NoComm_Valid_2</t>
  </si>
  <si>
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(CFL_1 - 1)/(CFL_1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</si>
  <si>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Wave_NoComm_Valid_3</t>
  </si>
  <si>
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</si>
  <si>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Wave_NoComm_Valid_4</t>
  </si>
  <si>
    <t>import numpy as np\n
\n
def spectral_wave_solver(u0, v0, L, T, dt, c):\n
    N = len(u0)\n
    x = np.linspace(0, L, N, endpoint=False)\n
\n
    k = 2 * np.pi * np.fft.fftfreq(N, d=L/N)\n
\n
    u0_hat = np.fft.fft(u0)\n
    v0_hat = np.fft.fft(v0)\n
\n
    k_abs = np.abs(k)\n
    k_abs[0] = 1e-14\n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</si>
  <si>
    <t>Heat_NoComm_Valid_1</t>
  </si>
  <si>
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((k/dx**2)*np.matmul(A, u) + (k/dx**2)*b)\n
\n
u = odeint(fn, Uinit, t, args=(A, b, k, dx))\n</t>
  </si>
  <si>
    <t>Heat_NoComm_Valid_2</t>
  </si>
  <si>
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</si>
  <si>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Heat_NoComm_Valid_3</t>
  </si>
  <si>
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dx**2 * A\n
\n
b = np.zeros(shape=(n))\n
b[0] = k / dx**2 * B0\n
b[n-1] = 1/dx * Bn\n
\n
def fn(u, t, A, b, k, dx):\n
    return ((k/dx**2)*np.matmul(A, u) + (k/dx**2)*b)\n
\n
u = odeint(fn, Uinit, t, args=(A, b, k, dx))\n</t>
  </si>
  <si>
    <t>Heat_NoComm_Valid_4</t>
  </si>
  <si>
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u[t])/dx**2\n
    u[t+1] = u[t] + dudt * dt\n</t>
  </si>
  <si>
    <t>Burgers_NoComm_Valid_1</t>
  </si>
  <si>
    <t>import numpy as np\n
from scipy.integrate import odeint\n
\n
def dudt_rec_upwind(u, t, dx):\n
    n = u.shape[0]\n
\n
    dudx = np.zeros_like(u)\n
    dudx[1:n-1] = (u[2:n] - u[0:n-2])/(2*dx)\n
    dudx[0] = (u[1] - u[0])/dx\n
    dudx[n-1] = (u[n-1] - u[n-2])/dx\n
\n
    u_right = u + dudx*dx/2\n
    u_left = u - dudx*dx/2\n
\n
    f_right = u_right**2 / 2\n
    f_left = u_left**2 / 2\n
\n
    s = np.zeros(shape=(n+1,))\n
    s[1:n] = (u_right[0:n-1] + u_left[1:n]) / 2\n
\n
    f_interface = np.zeros(shape=(n+1,))\n
    assert f_interface.shape[0] == u.shape[0] + 1\n
\n
    f_interface[0] = 0\n
\n
    for i in range(1, n):\n
        if s[i] &gt; 0:\n
            f_interface[i] = f_right[i-1]\n
        else:\n
             f_interface[i] = f_left[i]\n
\n
    f_interface[n] = 0\n
\n    
    du_dt = (f_interface[0:n] - f_interface[1:n+1])/dx\n
    return du_dt\n
\n
u = odeint(dudt_rec_upwind, u_init, t, args=(dx,))\n</t>
  </si>
  <si>
    <t>Burgers_NoComm_Valid_2</t>
  </si>
  <si>
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\n
    r = (u_ip1 - u)/(u - u_im1)\n
    phi = limiter(r)\n
    u_iph_left = u + 0.5*(u - u_im1)*phi\n
\n
    r = (u - u_ip1)/(u_ip1 - u_ip2)\n
    phi = limiter(r)\n
    u_iph_right = u_ip1 + 0.5*(u_ip1 - u_ip2)*phi\n
\n
    f_interface = godunov(u_iph_left, u_iph_right)\n
    f_interface = np.hstack([0, f_interface])\n
\n
    du_dt = (f_interface[0:n] - f_interface[1:n+1])/dx\n
    return du_dt\n
\n
u = odeint(dudt, u_init, t, args=(dx,))\n</t>
  </si>
  <si>
    <t>Burgers_NoComm_Valid_3</t>
  </si>
  <si>
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\n
    n = u_bar.shape[0]\n
\n
    f_bar = u_bar**2 / 2\n
\n
    f_interface = np.zeros(shape=(n+1,))\n
    assert f_interface.shape[0] == u_bar.shape[0] + 1\n
\n
    s = np.zeros_like(f_interface)\n
    s[1:n] = (u_bar[0:n-1] + u_bar[1:n]) / 2\n
\n  
    f_interface[0] = 0\n
\n  
    for i in range(1, n):\n
        if s[i] &gt; 0:\n
            f_interface[i] = f_bar[i-1]\n
        else:\n
             f_interface[i] = f_bar[i]\n
\n  
    f_interface[n] = 0\n
\n    
    dudt = (f_interface[0:n] - f_interface[1:n+1])/dx\n
    return dudt\n
\n
u = odeint(dudt_upwind, u_init, t, args=(dx,))\n</t>
  </si>
  <si>
    <t>Burgers_NoComm_Valid_4</t>
  </si>
  <si>
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2\n
\n    
    f_interface = (f_bar[0:n-1] + f_bar[1:n]) / 2\n
\n    
    f_interface = np.hstack([0, f_interface, 0])\n
\n    
    assert len(f_interface) == len(u_bar) + 1\n
\n  
    du_dt = (f_interface[0:n] - f_interface[1:n+1])/dx\n
    return du_dt\n
\n
u = odeint(dudt_central, u_init, t, args=(dx,))\n</t>
  </si>
  <si>
    <t>NavierStokes_Comm_Valid_1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</si>
  <si>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</si>
  <si>
    <t>Navier Stokes Equation</t>
  </si>
  <si>
    <t xml:space="preserve">advection-diffusion </t>
  </si>
  <si>
    <t>explicit-implicit</t>
  </si>
  <si>
    <t>NavierStokes_Comm_Valid_2</t>
  </si>
  <si>
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</si>
  <si>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advection-difffusion-restoration</t>
  </si>
  <si>
    <t xml:space="preserve">explicit-implicit </t>
  </si>
  <si>
    <t>NavierStokes_Comm_Valid_3</t>
  </si>
  <si>
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</si>
  <si>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 xml:space="preserve">spectral-explicit </t>
  </si>
  <si>
    <t>NavierStokes_Comm_Valid_4</t>
  </si>
  <si>
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</si>
  <si>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advection-diffusion-restoration</t>
  </si>
  <si>
    <t>explicit-implicit-spectral</t>
  </si>
  <si>
    <t>NavierStokes_NoComm_Valid_1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</si>
  <si>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    \n
    return p\n
def cavity_flow(nt, u, v, dt, dx, dy, p, rho, nu):\n
    un = numpy.empty_like(u)\n
    vn = numpy.empty_like(v)\n
    b = numpy.zeros((ny, nx))\n
    for n in range(nt):\n
        un = u.copy()\n
        vn = v.copy()  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</si>
  <si>
    <t>NavierStokes_NoComm_Valid_2</t>
  </si>
  <si>
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</si>
  <si>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NavierStokes_NoComm_Valid_3</t>
  </si>
  <si>
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-= P_hat*K\n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</si>
  <si>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>NavierStokes_NoComm_Valid_4</t>
  </si>
  <si>
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</si>
  <si>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Wave_NoComm_InValid_4</t>
  </si>
  <si>
    <t>import numpy as np\n
\n
def spectral_wave_solver(u0, v0, L, T, dt, c):\n
    N = len(u0)\n
    x = np.linspace(0, L, N, endpoint=False)\n
\n
    k = 2 * np.pi * np.fft.fftfreq(N, d=L/N)\n
\n
    u0_hat = np.fft.fft(u0)\n
    v0_hat = np.fft.fft(v0)\n
\n
    k_abs = k\n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</si>
  <si>
    <t>No</t>
  </si>
  <si>
    <t>Wave_NoComm_InValid_1</t>
  </si>
  <si>
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</si>
  <si>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Wave_NoComm_InValid_2</t>
  </si>
  <si>
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</si>
  <si>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Wave_NoComm_InValid_3</t>
  </si>
  <si>
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</si>
  <si>
    <t>Heat_NoComm_InValid_1</t>
  </si>
  <si>
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((k/dx**2)*np.matmul(-A, u) + (k/dx**3)*b)\n
\n
u = odeint(fn, Uinit, t, args=(A, b, k, dx))\n</t>
  </si>
  <si>
    <t>Heat Equation</t>
  </si>
  <si>
    <t>Heat_NoComm_InValid_2</t>
  </si>
  <si>
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(np.matmul(-A, u+np.ones_like(u)) + b)\n
\n
u = odeint(fn, Uinit, t, args=(A, b))\n</t>
  </si>
  <si>
    <t>Heat_NoComm_InValid_3</t>
  </si>
  <si>
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dx**3 * A\n
\n
b = np.zeros(shape=(n))\n
b[0] = k / dx**3 * B0\n
b[n-1] = 1/dx * Bn\n
\n
def fn(u, t, A, b, k, dx):\n
    return ((k/dx**2)*np.matmul(A, u) + (k/dx**2)*b)\n
\n
u = odeint(fn, Uinit, t, args=(A, b, k, dx))\n</t>
  </si>
  <si>
    <t>Heat_NoComm_InValid_4</t>
  </si>
  <si>
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-u[t])/dx**2\n
    u[t+1] = u[t] + dudt * dt\n</t>
  </si>
  <si>
    <t>Burgers_NoComm_InValid_1</t>
  </si>
  <si>
    <t>import numpy as np\n
from scipy.integrate import odeint\n
\n
def dudt_rec_upwind(u, t, dx):\n
    n = u.shape[0]\n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\n
    s = np.zeros(shape=(n+1,))\n
    s[1:n] = (u_right[0:n-1] + u_left[1:n]) / 2\n
    \n
    f_interface = np.zeros(shape=(n+1,))\n
    assert f_interface.shape[0] == u.shape[0] + 1\n
\n
    f_interface[0] = 1\n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</t>
  </si>
  <si>
    <t>Burgers_NoComm_InValid_2</t>
  </si>
  <si>
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</si>
  <si>
    <t>Burgers_NoComm_InValid_3</t>
  </si>
  <si>
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</si>
  <si>
    <t>Burgers_NoComm_InValid_4</t>
  </si>
  <si>
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</si>
  <si>
    <t>NavierStokes_NoComm_InValid_1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</si>
  <si>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+\n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</si>
  <si>
    <t>NavierStokes_NoComm_InValid_2</t>
  </si>
  <si>
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</si>
  <si>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NavierStokes_NoComm_InValid_3</t>
  </si>
  <si>
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</si>
  <si>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>NavierStokes_NoComm_InValid_4</t>
  </si>
  <si>
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</si>
</sst>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4" max="4" width="17.38"/>
    <col customWidth="1" min="5" max="5" width="24.75"/>
    <col customWidth="1" min="6" max="6" width="29.63"/>
    <col customWidth="1" min="8" max="8" width="18.0"/>
    <col customWidth="1" min="10" max="10" width="13.25"/>
    <col customWidth="1" min="11" max="11" width="19.0"/>
  </cols>
  <sheetData>
    <row r="1" ht="17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3" t="s">
        <v>13</v>
      </c>
      <c r="B2" s="3" t="s">
        <v>14</v>
      </c>
      <c r="C2" s="3">
        <v>93.0</v>
      </c>
      <c r="D2" s="3">
        <v>7904.0</v>
      </c>
      <c r="E2" s="4" t="str">
        <f t="shared" ref="E2:E4" si="1">CONCATENATE(LEFT(A2,FIND("_",A2) - 1)," Equation")</f>
        <v>Wave Equation</v>
      </c>
      <c r="F2" s="3" t="s">
        <v>15</v>
      </c>
      <c r="G2" s="3" t="s">
        <v>16</v>
      </c>
      <c r="H2" s="3" t="s">
        <v>17</v>
      </c>
      <c r="I2" s="3" t="b">
        <v>0</v>
      </c>
    </row>
    <row r="3" ht="15.75" customHeight="1">
      <c r="A3" s="3" t="s">
        <v>18</v>
      </c>
      <c r="B3" s="3" t="s">
        <v>19</v>
      </c>
      <c r="C3" s="3">
        <v>75.0</v>
      </c>
      <c r="D3" s="3">
        <v>3256.0</v>
      </c>
      <c r="E3" s="4" t="str">
        <f t="shared" si="1"/>
        <v>Wave Equation</v>
      </c>
      <c r="F3" s="3" t="s">
        <v>15</v>
      </c>
      <c r="G3" s="3" t="s">
        <v>16</v>
      </c>
      <c r="H3" s="3" t="s">
        <v>17</v>
      </c>
      <c r="I3" s="3" t="b">
        <v>0</v>
      </c>
    </row>
    <row r="4" ht="15.75" customHeight="1">
      <c r="A4" s="3" t="s">
        <v>20</v>
      </c>
      <c r="B4" s="3" t="s">
        <v>21</v>
      </c>
      <c r="C4" s="3">
        <v>53.0</v>
      </c>
      <c r="D4" s="3">
        <v>1332.0</v>
      </c>
      <c r="E4" s="4" t="str">
        <f t="shared" si="1"/>
        <v>Wave Equation</v>
      </c>
      <c r="F4" s="3" t="s">
        <v>15</v>
      </c>
      <c r="G4" s="3" t="s">
        <v>16</v>
      </c>
      <c r="H4" s="3" t="s">
        <v>22</v>
      </c>
      <c r="I4" s="3" t="b">
        <v>0</v>
      </c>
    </row>
    <row r="5" ht="15.75" customHeight="1">
      <c r="A5" s="3" t="s">
        <v>23</v>
      </c>
      <c r="B5" s="3" t="s">
        <v>24</v>
      </c>
      <c r="C5" s="3">
        <v>43.0</v>
      </c>
      <c r="D5" s="3">
        <v>1084.0</v>
      </c>
      <c r="E5" s="3" t="s">
        <v>25</v>
      </c>
      <c r="F5" s="3" t="s">
        <v>15</v>
      </c>
      <c r="G5" s="3" t="s">
        <v>16</v>
      </c>
      <c r="H5" s="3" t="s">
        <v>26</v>
      </c>
      <c r="I5" s="3" t="b">
        <v>0</v>
      </c>
    </row>
    <row r="6" ht="15.75" customHeight="1">
      <c r="A6" s="3" t="s">
        <v>27</v>
      </c>
      <c r="B6" s="3" t="s">
        <v>28</v>
      </c>
      <c r="C6" s="3">
        <v>35.0</v>
      </c>
      <c r="D6" s="3">
        <v>845.0</v>
      </c>
      <c r="E6" s="3" t="str">
        <f t="shared" ref="E6:E16" si="2">CONCATENATE(LEFT(A6,FIND("_",A6) - 1)," Equation")</f>
        <v>Heat Equation</v>
      </c>
      <c r="F6" s="3" t="s">
        <v>29</v>
      </c>
      <c r="G6" s="3" t="s">
        <v>16</v>
      </c>
      <c r="H6" s="3" t="s">
        <v>30</v>
      </c>
      <c r="I6" s="3" t="b">
        <v>0</v>
      </c>
    </row>
    <row r="7" ht="15.75" customHeight="1">
      <c r="A7" s="3" t="s">
        <v>31</v>
      </c>
      <c r="B7" s="3" t="s">
        <v>32</v>
      </c>
      <c r="C7" s="3">
        <v>41.0</v>
      </c>
      <c r="D7" s="3">
        <v>862.0</v>
      </c>
      <c r="E7" s="3" t="str">
        <f t="shared" si="2"/>
        <v>Heat Equation</v>
      </c>
      <c r="F7" s="3" t="s">
        <v>29</v>
      </c>
      <c r="G7" s="3" t="s">
        <v>16</v>
      </c>
      <c r="H7" s="3" t="s">
        <v>17</v>
      </c>
      <c r="I7" s="3" t="b">
        <v>0</v>
      </c>
    </row>
    <row r="8" ht="15.75" customHeight="1">
      <c r="A8" s="3" t="s">
        <v>33</v>
      </c>
      <c r="B8" s="3" t="s">
        <v>34</v>
      </c>
      <c r="C8" s="3">
        <v>38.0</v>
      </c>
      <c r="D8" s="3">
        <v>770.0</v>
      </c>
      <c r="E8" s="3" t="str">
        <f t="shared" si="2"/>
        <v>Heat Equation</v>
      </c>
      <c r="F8" s="3" t="s">
        <v>29</v>
      </c>
      <c r="G8" s="3" t="s">
        <v>16</v>
      </c>
      <c r="H8" s="3" t="s">
        <v>22</v>
      </c>
      <c r="I8" s="3" t="b">
        <v>0</v>
      </c>
    </row>
    <row r="9" ht="15.75" customHeight="1">
      <c r="A9" s="3" t="s">
        <v>35</v>
      </c>
      <c r="B9" s="3" t="s">
        <v>36</v>
      </c>
      <c r="C9" s="3">
        <v>42.0</v>
      </c>
      <c r="D9" s="3">
        <v>870.0</v>
      </c>
      <c r="E9" s="4" t="str">
        <f t="shared" si="2"/>
        <v>Heat Equation</v>
      </c>
      <c r="F9" s="3" t="s">
        <v>29</v>
      </c>
      <c r="G9" s="3" t="s">
        <v>16</v>
      </c>
      <c r="H9" s="3" t="s">
        <v>22</v>
      </c>
      <c r="I9" s="3" t="b">
        <v>0</v>
      </c>
    </row>
    <row r="10" ht="15.75" customHeight="1">
      <c r="A10" s="3" t="s">
        <v>37</v>
      </c>
      <c r="B10" s="5" t="s">
        <v>38</v>
      </c>
      <c r="C10" s="3">
        <v>42.0</v>
      </c>
      <c r="D10" s="3">
        <v>1406.0</v>
      </c>
      <c r="E10" s="3" t="str">
        <f t="shared" si="2"/>
        <v>Burgers Equation</v>
      </c>
      <c r="F10" s="3" t="s">
        <v>39</v>
      </c>
      <c r="G10" s="3" t="s">
        <v>16</v>
      </c>
      <c r="H10" s="3" t="s">
        <v>17</v>
      </c>
      <c r="I10" s="3" t="b">
        <v>0</v>
      </c>
    </row>
    <row r="11" ht="15.75" customHeight="1">
      <c r="A11" s="3" t="s">
        <v>40</v>
      </c>
      <c r="B11" s="3" t="s">
        <v>41</v>
      </c>
      <c r="C11" s="3">
        <v>51.0</v>
      </c>
      <c r="D11" s="3">
        <v>1512.0</v>
      </c>
      <c r="E11" s="3" t="str">
        <f t="shared" si="2"/>
        <v>Burgers Equation</v>
      </c>
      <c r="F11" s="3" t="s">
        <v>39</v>
      </c>
      <c r="G11" s="3" t="s">
        <v>16</v>
      </c>
      <c r="H11" s="3" t="s">
        <v>17</v>
      </c>
      <c r="I11" s="3" t="b">
        <v>0</v>
      </c>
    </row>
    <row r="12" ht="15.75" customHeight="1">
      <c r="A12" s="3" t="s">
        <v>42</v>
      </c>
      <c r="B12" s="3" t="s">
        <v>43</v>
      </c>
      <c r="C12" s="3">
        <v>34.0</v>
      </c>
      <c r="D12" s="3">
        <v>1137.0</v>
      </c>
      <c r="E12" s="3" t="str">
        <f t="shared" si="2"/>
        <v>Burgers Equation</v>
      </c>
      <c r="F12" s="3" t="s">
        <v>39</v>
      </c>
      <c r="G12" s="3" t="s">
        <v>16</v>
      </c>
      <c r="H12" s="3" t="s">
        <v>17</v>
      </c>
      <c r="I12" s="3" t="b">
        <v>0</v>
      </c>
    </row>
    <row r="13" ht="15.75" customHeight="1">
      <c r="A13" s="3" t="s">
        <v>44</v>
      </c>
      <c r="B13" s="3" t="s">
        <v>45</v>
      </c>
      <c r="C13" s="3">
        <v>22.0</v>
      </c>
      <c r="D13" s="3">
        <v>880.0</v>
      </c>
      <c r="E13" s="3" t="str">
        <f t="shared" si="2"/>
        <v>Burgers Equation</v>
      </c>
      <c r="F13" s="3" t="s">
        <v>39</v>
      </c>
      <c r="G13" s="3" t="s">
        <v>16</v>
      </c>
      <c r="H13" s="3" t="s">
        <v>17</v>
      </c>
      <c r="I13" s="3" t="b">
        <v>0</v>
      </c>
    </row>
    <row r="14" ht="15.75" customHeight="1">
      <c r="A14" s="3" t="s">
        <v>46</v>
      </c>
      <c r="B14" s="3" t="s">
        <v>47</v>
      </c>
      <c r="C14" s="3">
        <v>88.0</v>
      </c>
      <c r="D14" s="3">
        <v>7422.0</v>
      </c>
      <c r="E14" s="4" t="str">
        <f t="shared" si="2"/>
        <v>Wave Equation</v>
      </c>
      <c r="F14" s="3" t="s">
        <v>15</v>
      </c>
      <c r="G14" s="3" t="s">
        <v>16</v>
      </c>
      <c r="H14" s="3" t="s">
        <v>17</v>
      </c>
      <c r="I14" s="3" t="b">
        <v>0</v>
      </c>
    </row>
    <row r="15" ht="15.75" customHeight="1">
      <c r="A15" s="3" t="s">
        <v>48</v>
      </c>
      <c r="B15" s="3" t="s">
        <v>49</v>
      </c>
      <c r="C15" s="3">
        <v>70.0</v>
      </c>
      <c r="D15" s="3">
        <v>2865.0</v>
      </c>
      <c r="E15" s="4" t="str">
        <f t="shared" si="2"/>
        <v>Wave Equation</v>
      </c>
      <c r="F15" s="3" t="s">
        <v>15</v>
      </c>
      <c r="G15" s="3" t="s">
        <v>16</v>
      </c>
      <c r="H15" s="3" t="s">
        <v>17</v>
      </c>
      <c r="I15" s="3" t="b">
        <v>0</v>
      </c>
    </row>
    <row r="16" ht="15.0" customHeight="1">
      <c r="A16" s="3" t="s">
        <v>50</v>
      </c>
      <c r="B16" s="3" t="s">
        <v>51</v>
      </c>
      <c r="C16" s="3">
        <v>48.0</v>
      </c>
      <c r="D16" s="3">
        <v>1006.0</v>
      </c>
      <c r="E16" s="4" t="str">
        <f t="shared" si="2"/>
        <v>Wave Equation</v>
      </c>
      <c r="F16" s="3" t="s">
        <v>15</v>
      </c>
      <c r="G16" s="3" t="s">
        <v>16</v>
      </c>
      <c r="H16" s="3" t="s">
        <v>22</v>
      </c>
      <c r="I16" s="3" t="b">
        <v>0</v>
      </c>
    </row>
    <row r="17" ht="15.75" customHeight="1">
      <c r="A17" s="3" t="s">
        <v>52</v>
      </c>
      <c r="B17" s="3" t="s">
        <v>53</v>
      </c>
      <c r="C17" s="3">
        <v>38.0</v>
      </c>
      <c r="D17" s="3">
        <v>895.0</v>
      </c>
      <c r="E17" s="3" t="s">
        <v>25</v>
      </c>
      <c r="F17" s="3" t="s">
        <v>15</v>
      </c>
      <c r="G17" s="3" t="s">
        <v>16</v>
      </c>
      <c r="H17" s="3" t="s">
        <v>26</v>
      </c>
      <c r="I17" s="3" t="b">
        <v>0</v>
      </c>
    </row>
    <row r="18" ht="15.75" customHeight="1">
      <c r="A18" s="3" t="s">
        <v>54</v>
      </c>
      <c r="B18" s="3" t="s">
        <v>55</v>
      </c>
      <c r="C18" s="3">
        <v>30.0</v>
      </c>
      <c r="D18" s="3">
        <v>470.0</v>
      </c>
      <c r="E18" s="4" t="str">
        <f t="shared" ref="E18:E25" si="3">CONCATENATE(LEFT(A18,FIND("_",A18) - 1)," Equation")</f>
        <v>Heat Equation</v>
      </c>
      <c r="F18" s="3" t="s">
        <v>29</v>
      </c>
      <c r="G18" s="3" t="s">
        <v>16</v>
      </c>
      <c r="H18" s="3" t="s">
        <v>30</v>
      </c>
      <c r="I18" s="3" t="b">
        <v>0</v>
      </c>
    </row>
    <row r="19" ht="15.75" customHeight="1">
      <c r="A19" s="3" t="s">
        <v>56</v>
      </c>
      <c r="B19" s="3" t="s">
        <v>57</v>
      </c>
      <c r="C19" s="3">
        <v>38.0</v>
      </c>
      <c r="D19" s="3">
        <v>649.0</v>
      </c>
      <c r="E19" s="4" t="str">
        <f t="shared" si="3"/>
        <v>Heat Equation</v>
      </c>
      <c r="F19" s="3" t="s">
        <v>29</v>
      </c>
      <c r="G19" s="3" t="s">
        <v>16</v>
      </c>
      <c r="H19" s="3" t="s">
        <v>17</v>
      </c>
      <c r="I19" s="3" t="b">
        <v>0</v>
      </c>
    </row>
    <row r="20" ht="15.75" customHeight="1">
      <c r="A20" s="3" t="s">
        <v>58</v>
      </c>
      <c r="B20" s="3" t="s">
        <v>59</v>
      </c>
      <c r="C20" s="3">
        <v>33.0</v>
      </c>
      <c r="D20" s="3">
        <v>565.0</v>
      </c>
      <c r="E20" s="4" t="str">
        <f t="shared" si="3"/>
        <v>Heat Equation</v>
      </c>
      <c r="F20" s="3" t="s">
        <v>29</v>
      </c>
      <c r="G20" s="3" t="s">
        <v>16</v>
      </c>
      <c r="H20" s="3" t="s">
        <v>22</v>
      </c>
      <c r="I20" s="3" t="b">
        <v>0</v>
      </c>
    </row>
    <row r="21" ht="15.75" customHeight="1">
      <c r="A21" s="3" t="s">
        <v>60</v>
      </c>
      <c r="B21" s="3" t="s">
        <v>61</v>
      </c>
      <c r="C21" s="3">
        <v>36.0</v>
      </c>
      <c r="D21" s="3">
        <v>518.0</v>
      </c>
      <c r="E21" s="4" t="str">
        <f t="shared" si="3"/>
        <v>Heat Equation</v>
      </c>
      <c r="F21" s="3" t="s">
        <v>29</v>
      </c>
      <c r="G21" s="3" t="s">
        <v>16</v>
      </c>
      <c r="H21" s="3" t="s">
        <v>22</v>
      </c>
      <c r="I21" s="3" t="b">
        <v>0</v>
      </c>
    </row>
    <row r="22" ht="15.75" customHeight="1">
      <c r="A22" s="3" t="s">
        <v>62</v>
      </c>
      <c r="B22" s="5" t="s">
        <v>63</v>
      </c>
      <c r="C22" s="3">
        <v>36.0</v>
      </c>
      <c r="D22" s="3">
        <v>876.0</v>
      </c>
      <c r="E22" s="4" t="str">
        <f t="shared" si="3"/>
        <v>Burgers Equation</v>
      </c>
      <c r="F22" s="3" t="s">
        <v>39</v>
      </c>
      <c r="G22" s="3" t="s">
        <v>16</v>
      </c>
      <c r="H22" s="3" t="s">
        <v>17</v>
      </c>
      <c r="I22" s="3" t="b">
        <v>0</v>
      </c>
    </row>
    <row r="23" ht="15.75" customHeight="1">
      <c r="A23" s="3" t="s">
        <v>64</v>
      </c>
      <c r="B23" s="3" t="s">
        <v>65</v>
      </c>
      <c r="C23" s="3">
        <v>66.0</v>
      </c>
      <c r="D23" s="3">
        <v>1436.0</v>
      </c>
      <c r="E23" s="4" t="str">
        <f t="shared" si="3"/>
        <v>Burgers Equation</v>
      </c>
      <c r="F23" s="3" t="s">
        <v>39</v>
      </c>
      <c r="G23" s="3" t="s">
        <v>16</v>
      </c>
      <c r="H23" s="3" t="s">
        <v>17</v>
      </c>
      <c r="I23" s="3" t="b">
        <v>0</v>
      </c>
    </row>
    <row r="24" ht="15.75" customHeight="1">
      <c r="A24" s="3" t="s">
        <v>66</v>
      </c>
      <c r="B24" s="3" t="s">
        <v>67</v>
      </c>
      <c r="C24" s="3">
        <v>43.0</v>
      </c>
      <c r="D24" s="3">
        <v>851.0</v>
      </c>
      <c r="E24" s="4" t="str">
        <f t="shared" si="3"/>
        <v>Burgers Equation</v>
      </c>
      <c r="F24" s="3" t="s">
        <v>39</v>
      </c>
      <c r="G24" s="3" t="s">
        <v>16</v>
      </c>
      <c r="H24" s="3" t="s">
        <v>17</v>
      </c>
      <c r="I24" s="3" t="b">
        <v>0</v>
      </c>
    </row>
    <row r="25" ht="15.75" customHeight="1">
      <c r="A25" s="3" t="s">
        <v>68</v>
      </c>
      <c r="B25" s="3" t="s">
        <v>69</v>
      </c>
      <c r="C25" s="3">
        <v>30.0</v>
      </c>
      <c r="D25" s="3">
        <v>598.0</v>
      </c>
      <c r="E25" s="4" t="str">
        <f t="shared" si="3"/>
        <v>Burgers Equation</v>
      </c>
      <c r="F25" s="3" t="s">
        <v>39</v>
      </c>
      <c r="G25" s="3" t="s">
        <v>16</v>
      </c>
      <c r="H25" s="3" t="s">
        <v>17</v>
      </c>
      <c r="I25" s="3" t="b">
        <v>0</v>
      </c>
    </row>
    <row r="26" ht="15.75" customHeight="1">
      <c r="A26" s="3" t="s">
        <v>70</v>
      </c>
      <c r="B26" s="3" t="s">
        <v>71</v>
      </c>
      <c r="C26" s="3">
        <v>95.0</v>
      </c>
      <c r="D26" s="3">
        <v>3676.0</v>
      </c>
      <c r="E26" s="3" t="s">
        <v>72</v>
      </c>
      <c r="F26" s="3" t="s">
        <v>73</v>
      </c>
      <c r="G26" s="3" t="s">
        <v>16</v>
      </c>
      <c r="H26" s="3" t="s">
        <v>74</v>
      </c>
      <c r="I26" s="3" t="b">
        <v>0</v>
      </c>
    </row>
    <row r="27" ht="15.75" customHeight="1">
      <c r="A27" s="3" t="s">
        <v>75</v>
      </c>
      <c r="B27" s="3" t="s">
        <v>76</v>
      </c>
      <c r="C27" s="3">
        <v>145.0</v>
      </c>
      <c r="D27" s="3">
        <v>6640.0</v>
      </c>
      <c r="E27" s="3" t="s">
        <v>72</v>
      </c>
      <c r="F27" s="3" t="s">
        <v>77</v>
      </c>
      <c r="G27" s="3" t="s">
        <v>16</v>
      </c>
      <c r="H27" s="3" t="s">
        <v>78</v>
      </c>
      <c r="I27" s="3" t="b">
        <v>0</v>
      </c>
    </row>
    <row r="28" ht="15.75" customHeight="1">
      <c r="A28" s="3" t="s">
        <v>79</v>
      </c>
      <c r="B28" s="3" t="s">
        <v>80</v>
      </c>
      <c r="C28" s="3">
        <v>96.0</v>
      </c>
      <c r="D28" s="3">
        <v>3617.0</v>
      </c>
      <c r="E28" s="3" t="s">
        <v>72</v>
      </c>
      <c r="F28" s="3" t="s">
        <v>73</v>
      </c>
      <c r="G28" s="3" t="s">
        <v>16</v>
      </c>
      <c r="H28" s="3" t="s">
        <v>81</v>
      </c>
      <c r="I28" s="3" t="b">
        <v>0</v>
      </c>
    </row>
    <row r="29" ht="15.75" customHeight="1">
      <c r="A29" s="3" t="s">
        <v>82</v>
      </c>
      <c r="B29" s="3" t="s">
        <v>83</v>
      </c>
      <c r="C29" s="3">
        <v>179.0</v>
      </c>
      <c r="D29" s="3">
        <v>6327.0</v>
      </c>
      <c r="E29" s="3" t="s">
        <v>72</v>
      </c>
      <c r="F29" s="3" t="s">
        <v>84</v>
      </c>
      <c r="G29" s="3" t="s">
        <v>16</v>
      </c>
      <c r="H29" s="3" t="s">
        <v>85</v>
      </c>
      <c r="I29" s="3" t="b">
        <v>0</v>
      </c>
    </row>
    <row r="30" ht="15.75" customHeight="1">
      <c r="A30" s="3" t="s">
        <v>86</v>
      </c>
      <c r="B30" s="3" t="s">
        <v>87</v>
      </c>
      <c r="C30" s="3">
        <v>88.0</v>
      </c>
      <c r="D30" s="3">
        <v>3350.0</v>
      </c>
      <c r="E30" s="3" t="s">
        <v>72</v>
      </c>
      <c r="F30" s="3" t="s">
        <v>73</v>
      </c>
      <c r="G30" s="3" t="s">
        <v>16</v>
      </c>
      <c r="H30" s="3" t="s">
        <v>74</v>
      </c>
      <c r="I30" s="3" t="b">
        <v>0</v>
      </c>
    </row>
    <row r="31" ht="15.75" customHeight="1">
      <c r="A31" s="3" t="s">
        <v>88</v>
      </c>
      <c r="B31" s="3" t="s">
        <v>89</v>
      </c>
      <c r="C31" s="3">
        <v>140.0</v>
      </c>
      <c r="D31" s="3">
        <v>6399.0</v>
      </c>
      <c r="E31" s="3" t="s">
        <v>72</v>
      </c>
      <c r="F31" s="3" t="s">
        <v>77</v>
      </c>
      <c r="G31" s="3" t="s">
        <v>16</v>
      </c>
      <c r="H31" s="3" t="s">
        <v>78</v>
      </c>
      <c r="I31" s="3" t="b">
        <v>0</v>
      </c>
    </row>
    <row r="32" ht="15.75" customHeight="1">
      <c r="A32" s="3" t="s">
        <v>90</v>
      </c>
      <c r="B32" s="3" t="s">
        <v>91</v>
      </c>
      <c r="C32" s="3">
        <v>87.0</v>
      </c>
      <c r="D32" s="3">
        <v>3205.0</v>
      </c>
      <c r="E32" s="3" t="s">
        <v>72</v>
      </c>
      <c r="F32" s="3" t="s">
        <v>73</v>
      </c>
      <c r="G32" s="3" t="s">
        <v>16</v>
      </c>
      <c r="H32" s="3" t="s">
        <v>81</v>
      </c>
      <c r="I32" s="3" t="b">
        <v>0</v>
      </c>
    </row>
    <row r="33" ht="15.75" customHeight="1">
      <c r="A33" s="3" t="s">
        <v>92</v>
      </c>
      <c r="B33" s="3" t="s">
        <v>93</v>
      </c>
      <c r="C33" s="3">
        <v>173.0</v>
      </c>
      <c r="D33" s="3">
        <v>6151.0</v>
      </c>
      <c r="E33" s="3" t="s">
        <v>72</v>
      </c>
      <c r="F33" s="3" t="s">
        <v>84</v>
      </c>
      <c r="G33" s="3" t="s">
        <v>16</v>
      </c>
      <c r="H33" s="3" t="s">
        <v>85</v>
      </c>
      <c r="I33" s="3" t="b">
        <v>0</v>
      </c>
    </row>
    <row r="34" ht="15.75" customHeight="1">
      <c r="A34" s="6" t="s">
        <v>94</v>
      </c>
      <c r="B34" s="6" t="s">
        <v>95</v>
      </c>
      <c r="C34" s="6">
        <v>37.0</v>
      </c>
      <c r="D34" s="6">
        <v>864.0</v>
      </c>
      <c r="E34" s="6" t="s">
        <v>25</v>
      </c>
      <c r="F34" s="6" t="s">
        <v>15</v>
      </c>
      <c r="G34" s="6" t="s">
        <v>96</v>
      </c>
      <c r="H34" s="6" t="s">
        <v>26</v>
      </c>
      <c r="I34" s="6" t="b">
        <v>0</v>
      </c>
    </row>
    <row r="35" ht="15.75" customHeight="1">
      <c r="A35" s="3" t="s">
        <v>97</v>
      </c>
      <c r="B35" s="3" t="s">
        <v>98</v>
      </c>
      <c r="C35" s="3">
        <v>88.0</v>
      </c>
      <c r="D35" s="3">
        <v>7598.0</v>
      </c>
      <c r="E35" s="4" t="str">
        <f t="shared" ref="E35:E37" si="4">CONCATENATE(LEFT(A35,FIND("_",A35) - 1)," Equation")</f>
        <v>Wave Equation</v>
      </c>
      <c r="F35" s="3" t="s">
        <v>15</v>
      </c>
      <c r="G35" s="3" t="s">
        <v>96</v>
      </c>
      <c r="H35" s="3" t="s">
        <v>17</v>
      </c>
      <c r="I35" s="3" t="b">
        <v>0</v>
      </c>
    </row>
    <row r="36" ht="15.75" customHeight="1">
      <c r="A36" s="3" t="s">
        <v>99</v>
      </c>
      <c r="B36" s="3" t="s">
        <v>100</v>
      </c>
      <c r="C36" s="3">
        <v>70.0</v>
      </c>
      <c r="D36" s="3">
        <v>3012.0</v>
      </c>
      <c r="E36" s="4" t="str">
        <f t="shared" si="4"/>
        <v>Wave Equation</v>
      </c>
      <c r="F36" s="3" t="s">
        <v>15</v>
      </c>
      <c r="G36" s="3" t="s">
        <v>96</v>
      </c>
      <c r="H36" s="3" t="s">
        <v>17</v>
      </c>
      <c r="I36" s="3" t="b">
        <v>0</v>
      </c>
    </row>
    <row r="37" ht="15.75" customHeight="1">
      <c r="A37" s="3" t="s">
        <v>101</v>
      </c>
      <c r="B37" s="3" t="s">
        <v>102</v>
      </c>
      <c r="C37" s="3">
        <v>48.0</v>
      </c>
      <c r="D37" s="3">
        <v>1134.0</v>
      </c>
      <c r="E37" s="4" t="str">
        <f t="shared" si="4"/>
        <v>Wave Equation</v>
      </c>
      <c r="F37" s="3" t="s">
        <v>15</v>
      </c>
      <c r="G37" s="3" t="s">
        <v>96</v>
      </c>
      <c r="H37" s="3" t="s">
        <v>22</v>
      </c>
      <c r="I37" s="3" t="b">
        <v>0</v>
      </c>
    </row>
    <row r="38" ht="15.75" customHeight="1">
      <c r="A38" s="3" t="s">
        <v>103</v>
      </c>
      <c r="B38" s="3" t="s">
        <v>104</v>
      </c>
      <c r="C38" s="3">
        <v>30.0</v>
      </c>
      <c r="D38" s="3">
        <v>533.0</v>
      </c>
      <c r="E38" s="3" t="s">
        <v>105</v>
      </c>
      <c r="F38" s="3" t="s">
        <v>29</v>
      </c>
      <c r="G38" s="3" t="s">
        <v>96</v>
      </c>
      <c r="H38" s="3" t="s">
        <v>30</v>
      </c>
      <c r="I38" s="3" t="b">
        <v>0</v>
      </c>
    </row>
    <row r="39" ht="13.5" customHeight="1">
      <c r="A39" s="3" t="s">
        <v>106</v>
      </c>
      <c r="B39" s="3" t="s">
        <v>107</v>
      </c>
      <c r="C39" s="3">
        <v>38.0</v>
      </c>
      <c r="D39" s="3">
        <v>740.0</v>
      </c>
      <c r="E39" s="4" t="str">
        <f t="shared" ref="E39:E45" si="5">CONCATENATE(LEFT(A39,FIND("_",A39) - 1)," Equation")</f>
        <v>Heat Equation</v>
      </c>
      <c r="F39" s="3" t="s">
        <v>29</v>
      </c>
      <c r="G39" s="3" t="s">
        <v>96</v>
      </c>
      <c r="H39" s="3" t="s">
        <v>17</v>
      </c>
      <c r="I39" s="3" t="b">
        <v>0</v>
      </c>
    </row>
    <row r="40" ht="16.5" customHeight="1">
      <c r="A40" s="3" t="s">
        <v>108</v>
      </c>
      <c r="B40" s="3" t="s">
        <v>109</v>
      </c>
      <c r="C40" s="3">
        <v>33.0</v>
      </c>
      <c r="D40" s="3">
        <v>633.0</v>
      </c>
      <c r="E40" s="4" t="str">
        <f t="shared" si="5"/>
        <v>Heat Equation</v>
      </c>
      <c r="F40" s="3" t="s">
        <v>29</v>
      </c>
      <c r="G40" s="3" t="s">
        <v>96</v>
      </c>
      <c r="H40" s="3" t="s">
        <v>22</v>
      </c>
      <c r="I40" s="3" t="b">
        <v>0</v>
      </c>
    </row>
    <row r="41" ht="13.5" customHeight="1">
      <c r="A41" s="3" t="s">
        <v>110</v>
      </c>
      <c r="B41" s="3" t="s">
        <v>111</v>
      </c>
      <c r="C41" s="3">
        <v>36.0</v>
      </c>
      <c r="D41" s="3">
        <v>593.0</v>
      </c>
      <c r="E41" s="4" t="str">
        <f t="shared" si="5"/>
        <v>Heat Equation</v>
      </c>
      <c r="F41" s="3" t="s">
        <v>29</v>
      </c>
      <c r="G41" s="3" t="s">
        <v>96</v>
      </c>
      <c r="H41" s="3" t="s">
        <v>22</v>
      </c>
      <c r="I41" s="3" t="b">
        <v>0</v>
      </c>
    </row>
    <row r="42" ht="14.25" customHeight="1">
      <c r="A42" s="3" t="s">
        <v>112</v>
      </c>
      <c r="B42" s="3" t="s">
        <v>113</v>
      </c>
      <c r="C42" s="3">
        <v>36.0</v>
      </c>
      <c r="D42" s="3">
        <v>950.0</v>
      </c>
      <c r="E42" s="4" t="str">
        <f t="shared" si="5"/>
        <v>Burgers Equation</v>
      </c>
      <c r="F42" s="3" t="s">
        <v>39</v>
      </c>
      <c r="G42" s="3" t="s">
        <v>96</v>
      </c>
      <c r="H42" s="3" t="s">
        <v>17</v>
      </c>
      <c r="I42" s="3" t="b">
        <v>0</v>
      </c>
    </row>
    <row r="43" ht="13.5" customHeight="1">
      <c r="A43" s="3" t="s">
        <v>114</v>
      </c>
      <c r="B43" s="3" t="s">
        <v>115</v>
      </c>
      <c r="C43" s="3">
        <v>66.0</v>
      </c>
      <c r="D43" s="3">
        <v>1818.0</v>
      </c>
      <c r="E43" s="4" t="str">
        <f t="shared" si="5"/>
        <v>Burgers Equation</v>
      </c>
      <c r="F43" s="3" t="s">
        <v>39</v>
      </c>
      <c r="G43" s="3" t="s">
        <v>96</v>
      </c>
      <c r="H43" s="3" t="s">
        <v>17</v>
      </c>
      <c r="I43" s="3" t="b">
        <v>0</v>
      </c>
    </row>
    <row r="44" ht="14.25" customHeight="1">
      <c r="A44" s="3" t="s">
        <v>116</v>
      </c>
      <c r="B44" s="3" t="s">
        <v>117</v>
      </c>
      <c r="C44" s="3">
        <v>43.0</v>
      </c>
      <c r="D44" s="3">
        <v>940.0</v>
      </c>
      <c r="E44" s="4" t="str">
        <f t="shared" si="5"/>
        <v>Burgers Equation</v>
      </c>
      <c r="F44" s="3" t="s">
        <v>39</v>
      </c>
      <c r="G44" s="3" t="s">
        <v>96</v>
      </c>
      <c r="H44" s="3" t="s">
        <v>17</v>
      </c>
      <c r="I44" s="3" t="b">
        <v>0</v>
      </c>
    </row>
    <row r="45" ht="15.0" customHeight="1">
      <c r="A45" s="3" t="s">
        <v>118</v>
      </c>
      <c r="B45" s="3" t="s">
        <v>119</v>
      </c>
      <c r="C45" s="3">
        <v>30.0</v>
      </c>
      <c r="D45" s="3">
        <v>661.0</v>
      </c>
      <c r="E45" s="4" t="str">
        <f t="shared" si="5"/>
        <v>Burgers Equation</v>
      </c>
      <c r="F45" s="3" t="s">
        <v>39</v>
      </c>
      <c r="G45" s="3" t="s">
        <v>96</v>
      </c>
      <c r="H45" s="3" t="s">
        <v>17</v>
      </c>
      <c r="I45" s="3" t="b">
        <v>0</v>
      </c>
    </row>
    <row r="46" ht="13.5" customHeight="1">
      <c r="A46" s="3" t="s">
        <v>120</v>
      </c>
      <c r="B46" s="3" t="s">
        <v>121</v>
      </c>
      <c r="C46" s="3">
        <v>88.0</v>
      </c>
      <c r="D46" s="3">
        <v>3344.0</v>
      </c>
      <c r="E46" s="3" t="s">
        <v>72</v>
      </c>
      <c r="F46" s="3" t="s">
        <v>73</v>
      </c>
      <c r="G46" s="3" t="s">
        <v>96</v>
      </c>
      <c r="H46" s="3" t="s">
        <v>74</v>
      </c>
      <c r="I46" s="3" t="b">
        <v>0</v>
      </c>
    </row>
    <row r="47" ht="16.5" customHeight="1">
      <c r="A47" s="3" t="s">
        <v>122</v>
      </c>
      <c r="B47" s="3" t="s">
        <v>123</v>
      </c>
      <c r="C47" s="3">
        <v>140.0</v>
      </c>
      <c r="D47" s="3">
        <v>6399.0</v>
      </c>
      <c r="E47" s="3" t="s">
        <v>72</v>
      </c>
      <c r="F47" s="3" t="s">
        <v>77</v>
      </c>
      <c r="G47" s="3" t="s">
        <v>96</v>
      </c>
      <c r="H47" s="3" t="s">
        <v>78</v>
      </c>
      <c r="I47" s="3" t="b">
        <v>0</v>
      </c>
    </row>
    <row r="48" ht="13.5" customHeight="1">
      <c r="A48" s="3" t="s">
        <v>124</v>
      </c>
      <c r="B48" s="3" t="s">
        <v>125</v>
      </c>
      <c r="C48" s="3">
        <v>87.0</v>
      </c>
      <c r="D48" s="3">
        <v>3205.0</v>
      </c>
      <c r="E48" s="3" t="s">
        <v>72</v>
      </c>
      <c r="F48" s="3" t="s">
        <v>73</v>
      </c>
      <c r="G48" s="3" t="s">
        <v>96</v>
      </c>
      <c r="H48" s="3" t="s">
        <v>81</v>
      </c>
      <c r="I48" s="3" t="b">
        <v>0</v>
      </c>
    </row>
    <row r="49" ht="18.75" customHeight="1">
      <c r="A49" s="3" t="s">
        <v>126</v>
      </c>
      <c r="B49" s="3" t="s">
        <v>127</v>
      </c>
      <c r="C49" s="3">
        <v>173.0</v>
      </c>
      <c r="D49" s="3">
        <v>6151.0</v>
      </c>
      <c r="E49" s="3" t="s">
        <v>72</v>
      </c>
      <c r="F49" s="3" t="s">
        <v>84</v>
      </c>
      <c r="G49" s="3" t="s">
        <v>96</v>
      </c>
      <c r="H49" s="3" t="s">
        <v>85</v>
      </c>
      <c r="I49" s="3" t="b">
        <v>0</v>
      </c>
    </row>
    <row r="50">
      <c r="A50" s="3"/>
    </row>
    <row r="51">
      <c r="A51" s="3"/>
    </row>
  </sheetData>
  <drawing r:id="rId1"/>
</worksheet>
</file>